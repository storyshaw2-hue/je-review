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ceptions" sheetId="2" state="visible" r:id="rId4"/>
    <sheet name="Test Catalog" sheetId="3" state="visible" r:id="rId5"/>
    <sheet name="Triage" sheetId="4" state="visible" r:id="rId6"/>
  </sheets>
  <definedNames>
    <definedName function="false" hidden="true" localSheetId="1" name="_xlnm._FilterDatabase" vbProcedure="false">Exceptions!$A$1:$O$16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<sst xmlns="http://schemas.openxmlformats.org/spreadsheetml/2006/main" count="351" uniqueCount="196">
  <si>
    <t xml:space="preserve">Journal Entry Risk Review</t>
  </si>
  <si>
    <t xml:space="preserve">Source file</t>
  </si>
  <si>
    <t xml:space="preserve">sample_je.csv</t>
  </si>
  <si>
    <t xml:space="preserve">Run timestamp</t>
  </si>
  <si>
    <t xml:space="preserve">2026-05-30 19:47</t>
  </si>
  <si>
    <t xml:space="preserve">Period(s)</t>
  </si>
  <si>
    <t xml:space="preserve">2024-11</t>
  </si>
  <si>
    <t xml:space="preserve">Total entries tested</t>
  </si>
  <si>
    <t xml:space="preserve">Total lines tested</t>
  </si>
  <si>
    <t xml:space="preserve">Entries flagged</t>
  </si>
  <si>
    <t xml:space="preserve">Share of entries flagged</t>
  </si>
  <si>
    <t xml:space="preserve">9.7%</t>
  </si>
  <si>
    <t xml:space="preserve">Test results</t>
  </si>
  <si>
    <t xml:space="preserve">Test</t>
  </si>
  <si>
    <t xml:space="preserve">Weight</t>
  </si>
  <si>
    <t xml:space="preserve">Ran?</t>
  </si>
  <si>
    <t xml:space="preserve">What it needs</t>
  </si>
  <si>
    <t xml:space="preserve">Posted on a weekend</t>
  </si>
  <si>
    <t xml:space="preserve">Yes</t>
  </si>
  <si>
    <t xml:space="preserve">entry_date</t>
  </si>
  <si>
    <t xml:space="preserve">Posted after the period it affects</t>
  </si>
  <si>
    <t xml:space="preserve">entry_date,period</t>
  </si>
  <si>
    <t xml:space="preserve">Posted in the last days of the period</t>
  </si>
  <si>
    <t xml:space="preserve">Posted outside business hours</t>
  </si>
  <si>
    <t xml:space="preserve">posted_at</t>
  </si>
  <si>
    <t xml:space="preserve">Round-dollar amount</t>
  </si>
  <si>
    <t xml:space="preserve">amount</t>
  </si>
  <si>
    <t xml:space="preserve">Just below an approval threshold</t>
  </si>
  <si>
    <t xml:space="preserve">Unusually large amount</t>
  </si>
  <si>
    <t xml:space="preserve">Seldom-used account</t>
  </si>
  <si>
    <t xml:space="preserve">account</t>
  </si>
  <si>
    <t xml:space="preserve">Sensitive account</t>
  </si>
  <si>
    <t xml:space="preserve">account_name</t>
  </si>
  <si>
    <t xml:space="preserve">Manual entry</t>
  </si>
  <si>
    <t xml:space="preserve">source</t>
  </si>
  <si>
    <t xml:space="preserve">Preparer is also approver</t>
  </si>
  <si>
    <t xml:space="preserve">entered_by,approved_by</t>
  </si>
  <si>
    <t xml:space="preserve">Missing description</t>
  </si>
  <si>
    <t xml:space="preserve">description</t>
  </si>
  <si>
    <t xml:space="preserve">Suspicious description keyword</t>
  </si>
  <si>
    <t xml:space="preserve">Entry does not balance</t>
  </si>
  <si>
    <t xml:space="preserve">Benford first-digit diagnostic (population)</t>
  </si>
  <si>
    <t xml:space="preserve">Mean abs. deviation (MAD): 0.04959  →  Nonconformity — investigate</t>
  </si>
  <si>
    <t xml:space="preserve">Based on 310 line amounts ≥ 1. MAD bands per Nigrini: &lt;0.006 close, &lt;0.012 acceptable, &lt;0.015 marginal, else investigate.</t>
  </si>
  <si>
    <t xml:space="preserve">These are RISK INDICATORS for auditor judgement, not findings of error or fraud. Expect false positives — percentile and round-amount tests in particular flag normal items. Investigate flagged entries; clear or document each. Tool runs entirely locally; no ledger data leaves this machine.</t>
  </si>
  <si>
    <t xml:space="preserve">JE ID</t>
  </si>
  <si>
    <t xml:space="preserve">Risk Score</t>
  </si>
  <si>
    <t xml:space="preserve"># Tests</t>
  </si>
  <si>
    <t xml:space="preserve">Why Flagged</t>
  </si>
  <si>
    <t xml:space="preserve">Test IDs</t>
  </si>
  <si>
    <t xml:space="preserve">Entry Date</t>
  </si>
  <si>
    <t xml:space="preserve">Period</t>
  </si>
  <si>
    <t xml:space="preserve">Lines</t>
  </si>
  <si>
    <t xml:space="preserve">Total Debit</t>
  </si>
  <si>
    <t xml:space="preserve">Total Credit</t>
  </si>
  <si>
    <t xml:space="preserve">Net</t>
  </si>
  <si>
    <t xml:space="preserve">Preparer</t>
  </si>
  <si>
    <t xml:space="preserve">Approver</t>
  </si>
  <si>
    <t xml:space="preserve">Source</t>
  </si>
  <si>
    <t xml:space="preserve">Description</t>
  </si>
  <si>
    <t xml:space="preserve">JE-2024-0155</t>
  </si>
  <si>
    <t xml:space="preserve">[WEEKEND_POSTING] Posted on Saturday 2024-11-30 ; [PERIOD_END_CONCENTRATION] Posted 2024-11-30 (last 3 days of month) ; [BELOW_THRESHOLD] $48,750 is within 5% under the $50,000 approval limit ; [SENSITIVE_ACCOUNT] Sensitive account: Suspense Account ; [MANUAL_SOURCE] Manual entry ; [SOD_CONFLICT] Preparer = approver (bwong) ; [SUSPICIOUS_KEYWORD] Description contains 'per cfo'</t>
  </si>
  <si>
    <t xml:space="preserve">WEEKEND_POSTING, PERIOD_END_CONCENTRATION, BELOW_THRESHOLD, SENSITIVE_ACCOUNT, MANUAL_SOURCE, SOD_CONFLICT, SUSPICIOUS_KEYWORD</t>
  </si>
  <si>
    <t xml:space="preserve">2024-11-30</t>
  </si>
  <si>
    <t xml:space="preserve">bwong</t>
  </si>
  <si>
    <t xml:space="preserve">Manual</t>
  </si>
  <si>
    <t xml:space="preserve">Per CFO - true up reserve, reverse later</t>
  </si>
  <si>
    <t xml:space="preserve">JE-2024-0154</t>
  </si>
  <si>
    <t xml:space="preserve">[ROUND_AMOUNT] Round amount $15,000 ; [UNBALANCED_ENTRY] Out of balance by $6,000.00</t>
  </si>
  <si>
    <t xml:space="preserve">ROUND_AMOUNT, UNBALANCED_ENTRY</t>
  </si>
  <si>
    <t xml:space="preserve">2024-11-15</t>
  </si>
  <si>
    <t xml:space="preserve">lmartin</t>
  </si>
  <si>
    <t xml:space="preserve">mgr_diaz</t>
  </si>
  <si>
    <t xml:space="preserve">System</t>
  </si>
  <si>
    <t xml:space="preserve">Vendor invoice posting</t>
  </si>
  <si>
    <t xml:space="preserve">JE-2024-0146</t>
  </si>
  <si>
    <t xml:space="preserve">[BELOW_THRESHOLD] $49,200 is within 5% under the $50,000 approval limit ; [LARGE_OUTLIER] Large amount $49,200 (top 1%)</t>
  </si>
  <si>
    <t xml:space="preserve">BELOW_THRESHOLD, LARGE_OUTLIER</t>
  </si>
  <si>
    <t xml:space="preserve">2024-11-20</t>
  </si>
  <si>
    <t xml:space="preserve">jdoe</t>
  </si>
  <si>
    <t xml:space="preserve">JE-2024-0148</t>
  </si>
  <si>
    <t xml:space="preserve">[SELDOM_ACCOUNT] Seldom-used account(s): 9999 ; [SENSITIVE_ACCOUNT] Sensitive account: Other Clearing 9999</t>
  </si>
  <si>
    <t xml:space="preserve">SELDOM_ACCOUNT, SENSITIVE_ACCOUNT</t>
  </si>
  <si>
    <t xml:space="preserve">2024-11-21</t>
  </si>
  <si>
    <t xml:space="preserve">mgr_chen</t>
  </si>
  <si>
    <t xml:space="preserve">JE-2024-0142</t>
  </si>
  <si>
    <t xml:space="preserve">[AFTER_PERIOD_END] Period 2024-11 but posted 2024-12-04</t>
  </si>
  <si>
    <t xml:space="preserve">AFTER_PERIOD_END</t>
  </si>
  <si>
    <t xml:space="preserve">2024-12-04</t>
  </si>
  <si>
    <t xml:space="preserve">JE-2024-0151</t>
  </si>
  <si>
    <t xml:space="preserve">[SOD_CONFLICT] Preparer = approver (jdoe)</t>
  </si>
  <si>
    <t xml:space="preserve">SOD_CONFLICT</t>
  </si>
  <si>
    <t xml:space="preserve">JE-2024-0141</t>
  </si>
  <si>
    <t xml:space="preserve">[WEEKEND_POSTING] Posted on Saturday 2024-11-23</t>
  </si>
  <si>
    <t xml:space="preserve">WEEKEND_POSTING</t>
  </si>
  <si>
    <t xml:space="preserve">2024-11-23</t>
  </si>
  <si>
    <t xml:space="preserve">JE-2024-0152</t>
  </si>
  <si>
    <t xml:space="preserve">[BLANK_DESCRIPTION] No description provided</t>
  </si>
  <si>
    <t xml:space="preserve">BLANK_DESCRIPTION</t>
  </si>
  <si>
    <t xml:space="preserve">2024-11-05</t>
  </si>
  <si>
    <t xml:space="preserve">asmith</t>
  </si>
  <si>
    <t xml:space="preserve">JE-2024-0153</t>
  </si>
  <si>
    <t xml:space="preserve">[SUSPICIOUS_KEYWORD] Description contains 'reclass'</t>
  </si>
  <si>
    <t xml:space="preserve">SUSPICIOUS_KEYWORD</t>
  </si>
  <si>
    <t xml:space="preserve">2024-11-07</t>
  </si>
  <si>
    <t xml:space="preserve">mgr_olsen</t>
  </si>
  <si>
    <t xml:space="preserve">Manual reclass to balance the GL plug</t>
  </si>
  <si>
    <t xml:space="preserve">JE-2024-0143</t>
  </si>
  <si>
    <t xml:space="preserve">[PERIOD_END_CONCENTRATION] Posted 2024-11-29 (last 3 days of month)</t>
  </si>
  <si>
    <t xml:space="preserve">PERIOD_END_CONCENTRATION</t>
  </si>
  <si>
    <t xml:space="preserve">2024-11-29</t>
  </si>
  <si>
    <t xml:space="preserve">JE-2024-0144</t>
  </si>
  <si>
    <t xml:space="preserve">[OFFHOURS_POSTING] Posted at 23:40</t>
  </si>
  <si>
    <t xml:space="preserve">OFFHOURS_POSTING</t>
  </si>
  <si>
    <t xml:space="preserve">2024-11-14</t>
  </si>
  <si>
    <t xml:space="preserve">JE-2024-0145</t>
  </si>
  <si>
    <t xml:space="preserve">[ROUND_AMOUNT] Round amount $25,000</t>
  </si>
  <si>
    <t xml:space="preserve">ROUND_AMOUNT</t>
  </si>
  <si>
    <t xml:space="preserve">2024-11-08</t>
  </si>
  <si>
    <t xml:space="preserve">JE-2024-0147</t>
  </si>
  <si>
    <t xml:space="preserve">[LARGE_OUTLIER] Large amount $812,451 (top 1%)</t>
  </si>
  <si>
    <t xml:space="preserve">LARGE_OUTLIER</t>
  </si>
  <si>
    <t xml:space="preserve">JE-2024-0149</t>
  </si>
  <si>
    <t xml:space="preserve">[SENSITIVE_ACCOUNT] Sensitive account: Suspense Account</t>
  </si>
  <si>
    <t xml:space="preserve">SENSITIVE_ACCOUNT</t>
  </si>
  <si>
    <t xml:space="preserve">2024-11-25</t>
  </si>
  <si>
    <t xml:space="preserve">JE-2024-0150</t>
  </si>
  <si>
    <t xml:space="preserve">[MANUAL_SOURCE] Manual entry</t>
  </si>
  <si>
    <t xml:space="preserve">MANUAL_SOURCE</t>
  </si>
  <si>
    <t xml:space="preserve">2024-11-22</t>
  </si>
  <si>
    <t xml:space="preserve">Test ID</t>
  </si>
  <si>
    <t xml:space="preserve">Scope-fields needed</t>
  </si>
  <si>
    <t xml:space="preserve">Entry recorded on a Saturday or Sunday — outside normal close cadence.</t>
  </si>
  <si>
    <t xml:space="preserve">Entry recorded after the close of the accounting period (possible back-dating).</t>
  </si>
  <si>
    <t xml:space="preserve">Entry recorded in the final days of the month — period-end pressure window.</t>
  </si>
  <si>
    <t xml:space="preserve">Entry timestamp is late night/early morning — unusual posting time.</t>
  </si>
  <si>
    <t xml:space="preserve">A line amount is an exact multiple of 1,000 — often estimates or plugs.</t>
  </si>
  <si>
    <t xml:space="preserve">BELOW_THRESHOLD</t>
  </si>
  <si>
    <t xml:space="preserve">A line amount sits just under a known approval limit — possible threshold gaming.</t>
  </si>
  <si>
    <t xml:space="preserve">A line amount is in the top percentile of the population.</t>
  </si>
  <si>
    <t xml:space="preserve">SELDOM_ACCOUNT</t>
  </si>
  <si>
    <t xml:space="preserve">An account touched by only one entry in the period — rarely-used accounts carry higher risk.</t>
  </si>
  <si>
    <t xml:space="preserve">A line hits a higher-risk account class (suspense, reserve, equity, revenue, IC, etc.).</t>
  </si>
  <si>
    <t xml:space="preserve">Entry was posted manually rather than system-generated.</t>
  </si>
  <si>
    <t xml:space="preserve">Same user prepared and approved the entry — segregation-of-duties conflict.</t>
  </si>
  <si>
    <t xml:space="preserve">Entry has no narrative — undocumented entries are harder to substantiate.</t>
  </si>
  <si>
    <t xml:space="preserve">Description contains a flag word (plug, to balance, reclass, misc, correction, etc.).</t>
  </si>
  <si>
    <t xml:space="preserve">UNBALANCED_ENTRY</t>
  </si>
  <si>
    <t xml:space="preserve">Signed line amounts for the entry do not net to zero — debits ≠ credits.</t>
  </si>
  <si>
    <t xml:space="preserve">Triage Notes</t>
  </si>
  <si>
    <t xml:space="preserve">Triage notes — top 10 exception(s)</t>
  </si>
  <si>
    <t xml:space="preserve">_Investigative leads for auditor judgement, not conclusions. Generated locally; no data left this machine._</t>
  </si>
  <si>
    <t xml:space="preserve">JE-2024-0155  ·  risk 12  ·  7 test(s)</t>
  </si>
  <si>
    <t xml:space="preserve">Entry date 2024-11-30, period 2024-11, net $0.00, preparer bwong, approver bwong, source Manual.</t>
  </si>
  <si>
    <t xml:space="preserve">**Why flagged:** [WEEKEND_POSTING] Posted on Saturday 2024-11-30 ; [PERIOD_END_CONCENTRATION] Posted 2024-11-30 (last 3 days of month) ; [BELOW_THRESHOLD] $48,750 is within 5% under the $50,000 approval limit ; [SENSITIVE_ACCOUNT] Sensitive account: Suspense Account ; [MANUAL_SOURCE] Manual entry ; [SOD_CONFLICT] Preparer = approver (bwong) ; [SUSPICIOUS_KEYWORD] Description contains 'per cfo'</t>
  </si>
  <si>
    <t xml:space="preserve">**Suggested procedures:**</t>
  </si>
  <si>
    <t xml:space="preserve">- Confirm the business reason for a weekend posting; agree to support and approval.</t>
  </si>
  <si>
    <t xml:space="preserve">- Assess whether late-period timing is normal cutoff or pressure to hit targets; review support.</t>
  </si>
  <si>
    <t xml:space="preserve">- Determine whether the amount was structured to stay under an approval level; look for split/related entries.</t>
  </si>
  <si>
    <t xml:space="preserve">- Scrutinize entries to suspense/reserve/equity/revenue/IC accounts — common manipulation vehicles.</t>
  </si>
  <si>
    <t xml:space="preserve">- Manual entries bypass system controls — verify preparer authority, independent review, and support.</t>
  </si>
  <si>
    <t xml:space="preserve">- Same preparer and approver — treat as a control deficiency and obtain independent re-approval.</t>
  </si>
  <si>
    <t xml:space="preserve">- Language like 'plug'/'to balance' suggests a forced entry — investigate what is being balanced and why.</t>
  </si>
  <si>
    <t xml:space="preserve">JE-2024-0154  ·  risk 4  ·  2 test(s)</t>
  </si>
  <si>
    <t xml:space="preserve">Entry date 2024-11-15, period 2024-11, net $6,000.00, preparer lmartin, approver mgr_diaz, source System.</t>
  </si>
  <si>
    <t xml:space="preserve">**Why flagged:** [ROUND_AMOUNT] Round amount $15,000 ; [UNBALANCED_ENTRY] Out of balance by $6,000.00</t>
  </si>
  <si>
    <t xml:space="preserve">- Round amounts often signal estimates or plugs — trace to primary documentation, not a calculation.</t>
  </si>
  <si>
    <t xml:space="preserve">- An out-of-balance entry indicates a posting/data error or partial entry — reconcile both sides before relying on it.</t>
  </si>
  <si>
    <t xml:space="preserve">JE-2024-0146  ·  risk 3  ·  2 test(s)</t>
  </si>
  <si>
    <t xml:space="preserve">Entry date 2024-11-20, period 2024-11, net $0.00, preparer jdoe, approver mgr_diaz, source System.</t>
  </si>
  <si>
    <t xml:space="preserve">**Why flagged:** [BELOW_THRESHOLD] $49,200 is within 5% under the $50,000 approval limit ; [LARGE_OUTLIER] Large amount $49,200 (top 1%)</t>
  </si>
  <si>
    <t xml:space="preserve">- Obtain and inspect primary support and approval at the appropriate authority level.</t>
  </si>
  <si>
    <t xml:space="preserve">JE-2024-0148  ·  risk 3  ·  2 test(s)</t>
  </si>
  <si>
    <t xml:space="preserve">Entry date 2024-11-21, period 2024-11, net $0.00, preparer lmartin, approver mgr_chen, source System.</t>
  </si>
  <si>
    <t xml:space="preserve">**Why flagged:** [SELDOM_ACCOUNT] Seldom-used account(s): 9999 ; [SENSITIVE_ACCOUNT] Sensitive account: Other Clearing 9999</t>
  </si>
  <si>
    <t xml:space="preserve">- Understand the purpose of a rarely-used account and confirm the entry is appropriate and properly classified.</t>
  </si>
  <si>
    <t xml:space="preserve">JE-2024-0142  ·  risk 3  ·  1 test(s)</t>
  </si>
  <si>
    <t xml:space="preserve">Entry date 2024-12-04, period 2024-11, net $0.00, preparer jdoe, approver mgr_chen, source System.</t>
  </si>
  <si>
    <t xml:space="preserve">**Why flagged:** [AFTER_PERIOD_END] Period 2024-11 but posted 2024-12-04</t>
  </si>
  <si>
    <t xml:space="preserve">- Verify the entry belongs to the stated period and was not back-dated to shift results; check approval timing.</t>
  </si>
  <si>
    <t xml:space="preserve">JE-2024-0151  ·  risk 3  ·  1 test(s)</t>
  </si>
  <si>
    <t xml:space="preserve">Entry date 2024-11-21, period 2024-11, net $0.00, preparer jdoe, approver jdoe, source System.</t>
  </si>
  <si>
    <t xml:space="preserve">**Why flagged:** [SOD_CONFLICT] Preparer = approver (jdoe)</t>
  </si>
  <si>
    <t xml:space="preserve">JE-2024-0141  ·  risk 2  ·  1 test(s)</t>
  </si>
  <si>
    <t xml:space="preserve">Entry date 2024-11-23, period 2024-11, net $0.00, preparer lmartin, approver mgr_diaz, source System.</t>
  </si>
  <si>
    <t xml:space="preserve">**Why flagged:** [WEEKEND_POSTING] Posted on Saturday 2024-11-23</t>
  </si>
  <si>
    <t xml:space="preserve">JE-2024-0152  ·  risk 2  ·  1 test(s)</t>
  </si>
  <si>
    <t xml:space="preserve">Entry date 2024-11-05, period 2024-11, net $0.00, preparer asmith, approver mgr_chen, source System.</t>
  </si>
  <si>
    <t xml:space="preserve">**Why flagged:** [BLANK_DESCRIPTION] No description provided</t>
  </si>
  <si>
    <t xml:space="preserve">- Require a business rationale and support before clearing an undocumented entry.</t>
  </si>
  <si>
    <t xml:space="preserve">JE-2024-0153  ·  risk 2  ·  1 test(s)</t>
  </si>
  <si>
    <t xml:space="preserve">Entry date 2024-11-07, period 2024-11, net $0.00, preparer lmartin, approver mgr_olsen, source System.</t>
  </si>
  <si>
    <t xml:space="preserve">**Why flagged:** [SUSPICIOUS_KEYWORD] Description contains 'reclass'</t>
  </si>
  <si>
    <t xml:space="preserve">JE-2024-0143  ·  risk 1  ·  1 test(s)</t>
  </si>
  <si>
    <t xml:space="preserve">Entry date 2024-11-29, period 2024-11, net $0.00, preparer asmith, approver mgr_olsen, source System.</t>
  </si>
  <si>
    <t xml:space="preserve">**Why flagged:** [PERIOD_END_CONCENTRATION] Posted 2024-11-29 (last 3 days of month)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</si>
</sst>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EBABA"/>
          <bgColor rgb="FF000000"/>
        </patternFill>
      </fill>
    </dxf>
    <dxf>
      <fill>
        <patternFill patternType="solid">
          <fgColor rgb="FFF4D1D1"/>
          <bgColor rgb="FF000000"/>
        </patternFill>
      </fill>
    </dxf>
    <dxf>
      <fill>
        <patternFill patternType="solid">
          <fgColor rgb="FFFAE8E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n">
        <v>155</v>
      </c>
    </row>
    <row r="7" customFormat="false" ht="15" hidden="false" customHeight="false" outlineLevel="0" collapsed="false">
      <c r="A7" s="2" t="s">
        <v>8</v>
      </c>
      <c r="B7" s="3" t="n">
        <v>310</v>
      </c>
    </row>
    <row r="8" customFormat="false" ht="15" hidden="false" customHeight="false" outlineLevel="0" collapsed="false">
      <c r="A8" s="2" t="s">
        <v>9</v>
      </c>
      <c r="B8" s="3" t="n">
        <v>15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5" t="s">
        <v>15</v>
      </c>
      <c r="D12" s="5" t="s">
        <v>9</v>
      </c>
      <c r="E12" s="5" t="s">
        <v>16</v>
      </c>
    </row>
    <row r="13" customFormat="false" ht="15" hidden="false" customHeight="false" outlineLevel="0" collapsed="false">
      <c r="A13" s="3" t="s">
        <v>17</v>
      </c>
      <c r="B13" s="3" t="n">
        <v>2</v>
      </c>
      <c r="C13" s="3" t="s">
        <v>18</v>
      </c>
      <c r="D13" s="3" t="n">
        <f aca="false">COUNTIF(Exceptions!E:E,"*"&amp;"WEEKEND_POSTING"&amp;"*")</f>
        <v>2</v>
      </c>
      <c r="E13" s="3" t="s">
        <v>19</v>
      </c>
    </row>
    <row r="14" customFormat="false" ht="15" hidden="false" customHeight="false" outlineLevel="0" collapsed="false">
      <c r="A14" s="3" t="s">
        <v>20</v>
      </c>
      <c r="B14" s="3" t="n">
        <v>3</v>
      </c>
      <c r="C14" s="3" t="s">
        <v>18</v>
      </c>
      <c r="D14" s="3" t="n">
        <f aca="false">COUNTIF(Exceptions!E:E,"*"&amp;"AFTER_PERIOD_END"&amp;"*")</f>
        <v>1</v>
      </c>
      <c r="E14" s="3" t="s">
        <v>21</v>
      </c>
    </row>
    <row r="15" customFormat="false" ht="15" hidden="false" customHeight="false" outlineLevel="0" collapsed="false">
      <c r="A15" s="3" t="s">
        <v>22</v>
      </c>
      <c r="B15" s="3" t="n">
        <v>1</v>
      </c>
      <c r="C15" s="3" t="s">
        <v>18</v>
      </c>
      <c r="D15" s="3" t="n">
        <f aca="false">COUNTIF(Exceptions!E:E,"*"&amp;"PERIOD_END_CONCENTRATION"&amp;"*")</f>
        <v>2</v>
      </c>
      <c r="E15" s="3" t="s">
        <v>19</v>
      </c>
    </row>
    <row r="16" customFormat="false" ht="15" hidden="false" customHeight="false" outlineLevel="0" collapsed="false">
      <c r="A16" s="3" t="s">
        <v>23</v>
      </c>
      <c r="B16" s="3" t="n">
        <v>1</v>
      </c>
      <c r="C16" s="3" t="s">
        <v>18</v>
      </c>
      <c r="D16" s="3" t="n">
        <f aca="false">COUNTIF(Exceptions!E:E,"*"&amp;"OFFHOURS_POSTING"&amp;"*")</f>
        <v>1</v>
      </c>
      <c r="E16" s="3" t="s">
        <v>24</v>
      </c>
    </row>
    <row r="17" customFormat="false" ht="15" hidden="false" customHeight="false" outlineLevel="0" collapsed="false">
      <c r="A17" s="3" t="s">
        <v>25</v>
      </c>
      <c r="B17" s="3" t="n">
        <v>1</v>
      </c>
      <c r="C17" s="3" t="s">
        <v>18</v>
      </c>
      <c r="D17" s="3" t="n">
        <f aca="false">COUNTIF(Exceptions!E:E,"*"&amp;"ROUND_AMOUNT"&amp;"*")</f>
        <v>2</v>
      </c>
      <c r="E17" s="3" t="s">
        <v>26</v>
      </c>
    </row>
    <row r="18" customFormat="false" ht="15" hidden="false" customHeight="false" outlineLevel="0" collapsed="false">
      <c r="A18" s="3" t="s">
        <v>27</v>
      </c>
      <c r="B18" s="3" t="n">
        <v>2</v>
      </c>
      <c r="C18" s="3" t="s">
        <v>18</v>
      </c>
      <c r="D18" s="3" t="n">
        <f aca="false">COUNTIF(Exceptions!E:E,"*"&amp;"BELOW_THRESHOLD"&amp;"*")</f>
        <v>2</v>
      </c>
      <c r="E18" s="3" t="s">
        <v>26</v>
      </c>
    </row>
    <row r="19" customFormat="false" ht="15" hidden="false" customHeight="false" outlineLevel="0" collapsed="false">
      <c r="A19" s="3" t="s">
        <v>28</v>
      </c>
      <c r="B19" s="3" t="n">
        <v>1</v>
      </c>
      <c r="C19" s="3" t="s">
        <v>18</v>
      </c>
      <c r="D19" s="3" t="n">
        <f aca="false">COUNTIF(Exceptions!E:E,"*"&amp;"LARGE_OUTLIER"&amp;"*")</f>
        <v>2</v>
      </c>
      <c r="E19" s="3" t="s">
        <v>26</v>
      </c>
    </row>
    <row r="20" customFormat="false" ht="15" hidden="false" customHeight="false" outlineLevel="0" collapsed="false">
      <c r="A20" s="3" t="s">
        <v>29</v>
      </c>
      <c r="B20" s="3" t="n">
        <v>2</v>
      </c>
      <c r="C20" s="3" t="s">
        <v>18</v>
      </c>
      <c r="D20" s="3" t="n">
        <f aca="false">COUNTIF(Exceptions!E:E,"*"&amp;"SELDOM_ACCOUNT"&amp;"*")</f>
        <v>1</v>
      </c>
      <c r="E20" s="3" t="s">
        <v>30</v>
      </c>
    </row>
    <row r="21" customFormat="false" ht="15" hidden="false" customHeight="false" outlineLevel="0" collapsed="false">
      <c r="A21" s="3" t="s">
        <v>31</v>
      </c>
      <c r="B21" s="3" t="n">
        <v>1</v>
      </c>
      <c r="C21" s="3" t="s">
        <v>18</v>
      </c>
      <c r="D21" s="3" t="n">
        <f aca="false">COUNTIF(Exceptions!E:E,"*"&amp;"SENSITIVE_ACCOUNT"&amp;"*")</f>
        <v>3</v>
      </c>
      <c r="E21" s="3" t="s">
        <v>32</v>
      </c>
    </row>
    <row r="22" customFormat="false" ht="15" hidden="false" customHeight="false" outlineLevel="0" collapsed="false">
      <c r="A22" s="3" t="s">
        <v>33</v>
      </c>
      <c r="B22" s="3" t="n">
        <v>1</v>
      </c>
      <c r="C22" s="3" t="s">
        <v>18</v>
      </c>
      <c r="D22" s="3" t="n">
        <f aca="false">COUNTIF(Exceptions!E:E,"*"&amp;"MANUAL_SOURCE"&amp;"*")</f>
        <v>2</v>
      </c>
      <c r="E22" s="3" t="s">
        <v>34</v>
      </c>
    </row>
    <row r="23" customFormat="false" ht="15" hidden="false" customHeight="false" outlineLevel="0" collapsed="false">
      <c r="A23" s="3" t="s">
        <v>35</v>
      </c>
      <c r="B23" s="3" t="n">
        <v>3</v>
      </c>
      <c r="C23" s="3" t="s">
        <v>18</v>
      </c>
      <c r="D23" s="3" t="n">
        <f aca="false">COUNTIF(Exceptions!E:E,"*"&amp;"SOD_CONFLICT"&amp;"*")</f>
        <v>2</v>
      </c>
      <c r="E23" s="3" t="s">
        <v>36</v>
      </c>
    </row>
    <row r="24" customFormat="false" ht="15" hidden="false" customHeight="false" outlineLevel="0" collapsed="false">
      <c r="A24" s="3" t="s">
        <v>37</v>
      </c>
      <c r="B24" s="3" t="n">
        <v>2</v>
      </c>
      <c r="C24" s="3" t="s">
        <v>18</v>
      </c>
      <c r="D24" s="3" t="n">
        <f aca="false">COUNTIF(Exceptions!E:E,"*"&amp;"BLANK_DESCRIPTION"&amp;"*")</f>
        <v>1</v>
      </c>
      <c r="E24" s="3" t="s">
        <v>38</v>
      </c>
    </row>
    <row r="25" customFormat="false" ht="15" hidden="false" customHeight="false" outlineLevel="0" collapsed="false">
      <c r="A25" s="3" t="s">
        <v>39</v>
      </c>
      <c r="B25" s="3" t="n">
        <v>2</v>
      </c>
      <c r="C25" s="3" t="s">
        <v>18</v>
      </c>
      <c r="D25" s="3" t="n">
        <f aca="false">COUNTIF(Exceptions!E:E,"*"&amp;"SUSPICIOUS_KEYWORD"&amp;"*")</f>
        <v>2</v>
      </c>
      <c r="E25" s="3" t="s">
        <v>38</v>
      </c>
    </row>
    <row r="26" customFormat="false" ht="15" hidden="false" customHeight="false" outlineLevel="0" collapsed="false">
      <c r="A26" s="3" t="s">
        <v>40</v>
      </c>
      <c r="B26" s="3" t="n">
        <v>3</v>
      </c>
      <c r="C26" s="3" t="s">
        <v>18</v>
      </c>
      <c r="D26" s="3" t="n">
        <f aca="false">COUNTIF(Exceptions!E:E,"*"&amp;"UNBALANCED_ENTRY"&amp;"*")</f>
        <v>1</v>
      </c>
      <c r="E26" s="3" t="s">
        <v>26</v>
      </c>
    </row>
    <row r="28" customFormat="false" ht="15" hidden="false" customHeight="false" outlineLevel="0" collapsed="false">
      <c r="A28" s="6" t="s">
        <v>41</v>
      </c>
    </row>
    <row r="29" customFormat="false" ht="15" hidden="false" customHeight="false" outlineLevel="0" collapsed="false">
      <c r="A29" s="3" t="s">
        <v>42</v>
      </c>
    </row>
    <row r="30" customFormat="false" ht="15" hidden="false" customHeight="false" outlineLevel="0" collapsed="false">
      <c r="A30" s="7" t="s">
        <v>43</v>
      </c>
    </row>
    <row r="33" customFormat="false" ht="60" hidden="false" customHeight="true" outlineLevel="0" collapsed="false">
      <c r="A33" s="8" t="s">
        <v>44</v>
      </c>
      <c r="B33" s="8"/>
      <c r="C33" s="8"/>
      <c r="D33" s="8"/>
      <c r="E33" s="8"/>
    </row>
  </sheetData>
  <mergeCells count="1"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10" min="9" style="0" width="14"/>
    <col collapsed="false" customWidth="true" hidden="false" outlineLevel="0" max="13" min="11" style="0" width="12"/>
    <col collapsed="false" customWidth="true" hidden="false" outlineLevel="0" max="14" min="14" style="0" width="10"/>
    <col collapsed="false" customWidth="true" hidden="false" outlineLevel="0" max="15" min="15" style="0" width="30"/>
  </cols>
  <sheetData>
    <row r="1" customFormat="false" ht="26.85" hidden="false" customHeight="false" outlineLevel="0" collapsed="false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  <c r="L1" s="5" t="s">
        <v>56</v>
      </c>
      <c r="M1" s="5" t="s">
        <v>57</v>
      </c>
      <c r="N1" s="5" t="s">
        <v>58</v>
      </c>
      <c r="O1" s="5" t="s">
        <v>59</v>
      </c>
    </row>
    <row r="2" customFormat="false" ht="79.85" hidden="false" customHeight="false" outlineLevel="0" collapsed="false">
      <c r="A2" s="9" t="s">
        <v>60</v>
      </c>
      <c r="B2" s="9" t="n">
        <v>12</v>
      </c>
      <c r="C2" s="9" t="n">
        <v>7</v>
      </c>
      <c r="D2" s="10" t="s">
        <v>61</v>
      </c>
      <c r="E2" s="9" t="s">
        <v>62</v>
      </c>
      <c r="F2" s="9" t="s">
        <v>63</v>
      </c>
      <c r="G2" s="9" t="s">
        <v>6</v>
      </c>
      <c r="H2" s="9" t="n">
        <v>2</v>
      </c>
      <c r="I2" s="11" t="n">
        <v>48750</v>
      </c>
      <c r="J2" s="11" t="n">
        <v>48750</v>
      </c>
      <c r="K2" s="11" t="n">
        <v>0</v>
      </c>
      <c r="L2" s="9" t="s">
        <v>64</v>
      </c>
      <c r="M2" s="9" t="s">
        <v>64</v>
      </c>
      <c r="N2" s="9" t="s">
        <v>65</v>
      </c>
      <c r="O2" s="10" t="s">
        <v>66</v>
      </c>
    </row>
    <row r="3" customFormat="false" ht="23.85" hidden="false" customHeight="false" outlineLevel="0" collapsed="false">
      <c r="A3" s="9" t="s">
        <v>67</v>
      </c>
      <c r="B3" s="9" t="n">
        <v>4</v>
      </c>
      <c r="C3" s="9" t="n">
        <v>2</v>
      </c>
      <c r="D3" s="10" t="s">
        <v>68</v>
      </c>
      <c r="E3" s="9" t="s">
        <v>69</v>
      </c>
      <c r="F3" s="9" t="s">
        <v>70</v>
      </c>
      <c r="G3" s="9" t="s">
        <v>6</v>
      </c>
      <c r="H3" s="9" t="n">
        <v>2</v>
      </c>
      <c r="I3" s="11" t="n">
        <v>15000</v>
      </c>
      <c r="J3" s="11" t="n">
        <v>9000</v>
      </c>
      <c r="K3" s="11" t="n">
        <v>6000</v>
      </c>
      <c r="L3" s="9" t="s">
        <v>71</v>
      </c>
      <c r="M3" s="9" t="s">
        <v>72</v>
      </c>
      <c r="N3" s="9" t="s">
        <v>73</v>
      </c>
      <c r="O3" s="10" t="s">
        <v>74</v>
      </c>
    </row>
    <row r="4" customFormat="false" ht="23.85" hidden="false" customHeight="false" outlineLevel="0" collapsed="false">
      <c r="A4" s="9" t="s">
        <v>75</v>
      </c>
      <c r="B4" s="9" t="n">
        <v>3</v>
      </c>
      <c r="C4" s="9" t="n">
        <v>2</v>
      </c>
      <c r="D4" s="10" t="s">
        <v>76</v>
      </c>
      <c r="E4" s="9" t="s">
        <v>77</v>
      </c>
      <c r="F4" s="9" t="s">
        <v>78</v>
      </c>
      <c r="G4" s="9" t="s">
        <v>6</v>
      </c>
      <c r="H4" s="9" t="n">
        <v>2</v>
      </c>
      <c r="I4" s="11" t="n">
        <v>49200</v>
      </c>
      <c r="J4" s="11" t="n">
        <v>49200</v>
      </c>
      <c r="K4" s="11" t="n">
        <v>0</v>
      </c>
      <c r="L4" s="9" t="s">
        <v>79</v>
      </c>
      <c r="M4" s="9" t="s">
        <v>72</v>
      </c>
      <c r="N4" s="9" t="s">
        <v>73</v>
      </c>
      <c r="O4" s="10" t="s">
        <v>74</v>
      </c>
    </row>
    <row r="5" customFormat="false" ht="23.85" hidden="false" customHeight="false" outlineLevel="0" collapsed="false">
      <c r="A5" s="9" t="s">
        <v>80</v>
      </c>
      <c r="B5" s="9" t="n">
        <v>3</v>
      </c>
      <c r="C5" s="9" t="n">
        <v>2</v>
      </c>
      <c r="D5" s="10" t="s">
        <v>81</v>
      </c>
      <c r="E5" s="9" t="s">
        <v>82</v>
      </c>
      <c r="F5" s="9" t="s">
        <v>83</v>
      </c>
      <c r="G5" s="9" t="s">
        <v>6</v>
      </c>
      <c r="H5" s="9" t="n">
        <v>2</v>
      </c>
      <c r="I5" s="11" t="n">
        <v>12345.67</v>
      </c>
      <c r="J5" s="11" t="n">
        <v>12345.67</v>
      </c>
      <c r="K5" s="11" t="n">
        <v>0</v>
      </c>
      <c r="L5" s="9" t="s">
        <v>71</v>
      </c>
      <c r="M5" s="9" t="s">
        <v>84</v>
      </c>
      <c r="N5" s="9" t="s">
        <v>73</v>
      </c>
      <c r="O5" s="10" t="s">
        <v>74</v>
      </c>
    </row>
    <row r="6" customFormat="false" ht="15" hidden="false" customHeight="false" outlineLevel="0" collapsed="false">
      <c r="A6" s="9" t="s">
        <v>85</v>
      </c>
      <c r="B6" s="9" t="n">
        <v>3</v>
      </c>
      <c r="C6" s="9" t="n">
        <v>1</v>
      </c>
      <c r="D6" s="10" t="s">
        <v>86</v>
      </c>
      <c r="E6" s="9" t="s">
        <v>87</v>
      </c>
      <c r="F6" s="9" t="s">
        <v>88</v>
      </c>
      <c r="G6" s="9" t="s">
        <v>6</v>
      </c>
      <c r="H6" s="9" t="n">
        <v>2</v>
      </c>
      <c r="I6" s="11" t="n">
        <v>12345.67</v>
      </c>
      <c r="J6" s="11" t="n">
        <v>12345.67</v>
      </c>
      <c r="K6" s="11" t="n">
        <v>0</v>
      </c>
      <c r="L6" s="9" t="s">
        <v>79</v>
      </c>
      <c r="M6" s="9" t="s">
        <v>84</v>
      </c>
      <c r="N6" s="9" t="s">
        <v>73</v>
      </c>
      <c r="O6" s="10" t="s">
        <v>74</v>
      </c>
    </row>
    <row r="7" customFormat="false" ht="15" hidden="false" customHeight="false" outlineLevel="0" collapsed="false">
      <c r="A7" s="9" t="s">
        <v>89</v>
      </c>
      <c r="B7" s="9" t="n">
        <v>3</v>
      </c>
      <c r="C7" s="9" t="n">
        <v>1</v>
      </c>
      <c r="D7" s="10" t="s">
        <v>90</v>
      </c>
      <c r="E7" s="9" t="s">
        <v>91</v>
      </c>
      <c r="F7" s="9" t="s">
        <v>83</v>
      </c>
      <c r="G7" s="9" t="s">
        <v>6</v>
      </c>
      <c r="H7" s="9" t="n">
        <v>2</v>
      </c>
      <c r="I7" s="11" t="n">
        <v>12345.67</v>
      </c>
      <c r="J7" s="11" t="n">
        <v>12345.67</v>
      </c>
      <c r="K7" s="11" t="n">
        <v>0</v>
      </c>
      <c r="L7" s="9" t="s">
        <v>79</v>
      </c>
      <c r="M7" s="9" t="s">
        <v>79</v>
      </c>
      <c r="N7" s="9" t="s">
        <v>73</v>
      </c>
      <c r="O7" s="10" t="s">
        <v>74</v>
      </c>
    </row>
    <row r="8" customFormat="false" ht="15" hidden="false" customHeight="false" outlineLevel="0" collapsed="false">
      <c r="A8" s="9" t="s">
        <v>92</v>
      </c>
      <c r="B8" s="9" t="n">
        <v>2</v>
      </c>
      <c r="C8" s="9" t="n">
        <v>1</v>
      </c>
      <c r="D8" s="10" t="s">
        <v>93</v>
      </c>
      <c r="E8" s="9" t="s">
        <v>94</v>
      </c>
      <c r="F8" s="9" t="s">
        <v>95</v>
      </c>
      <c r="G8" s="9" t="s">
        <v>6</v>
      </c>
      <c r="H8" s="9" t="n">
        <v>2</v>
      </c>
      <c r="I8" s="11" t="n">
        <v>12345.67</v>
      </c>
      <c r="J8" s="11" t="n">
        <v>12345.67</v>
      </c>
      <c r="K8" s="11" t="n">
        <v>0</v>
      </c>
      <c r="L8" s="9" t="s">
        <v>71</v>
      </c>
      <c r="M8" s="9" t="s">
        <v>72</v>
      </c>
      <c r="N8" s="9" t="s">
        <v>73</v>
      </c>
      <c r="O8" s="10" t="s">
        <v>74</v>
      </c>
    </row>
    <row r="9" customFormat="false" ht="15" hidden="false" customHeight="false" outlineLevel="0" collapsed="false">
      <c r="A9" s="9" t="s">
        <v>96</v>
      </c>
      <c r="B9" s="9" t="n">
        <v>2</v>
      </c>
      <c r="C9" s="9" t="n">
        <v>1</v>
      </c>
      <c r="D9" s="10" t="s">
        <v>97</v>
      </c>
      <c r="E9" s="9" t="s">
        <v>98</v>
      </c>
      <c r="F9" s="9" t="s">
        <v>99</v>
      </c>
      <c r="G9" s="9" t="s">
        <v>6</v>
      </c>
      <c r="H9" s="9" t="n">
        <v>2</v>
      </c>
      <c r="I9" s="11" t="n">
        <v>12345.67</v>
      </c>
      <c r="J9" s="11" t="n">
        <v>12345.67</v>
      </c>
      <c r="K9" s="11" t="n">
        <v>0</v>
      </c>
      <c r="L9" s="9" t="s">
        <v>100</v>
      </c>
      <c r="M9" s="9" t="s">
        <v>84</v>
      </c>
      <c r="N9" s="9" t="s">
        <v>73</v>
      </c>
      <c r="O9" s="10"/>
    </row>
    <row r="10" customFormat="false" ht="23.85" hidden="false" customHeight="false" outlineLevel="0" collapsed="false">
      <c r="A10" s="9" t="s">
        <v>101</v>
      </c>
      <c r="B10" s="9" t="n">
        <v>2</v>
      </c>
      <c r="C10" s="9" t="n">
        <v>1</v>
      </c>
      <c r="D10" s="10" t="s">
        <v>102</v>
      </c>
      <c r="E10" s="9" t="s">
        <v>103</v>
      </c>
      <c r="F10" s="9" t="s">
        <v>104</v>
      </c>
      <c r="G10" s="9" t="s">
        <v>6</v>
      </c>
      <c r="H10" s="9" t="n">
        <v>2</v>
      </c>
      <c r="I10" s="11" t="n">
        <v>12345.67</v>
      </c>
      <c r="J10" s="11" t="n">
        <v>12345.67</v>
      </c>
      <c r="K10" s="11" t="n">
        <v>0</v>
      </c>
      <c r="L10" s="9" t="s">
        <v>71</v>
      </c>
      <c r="M10" s="9" t="s">
        <v>105</v>
      </c>
      <c r="N10" s="9" t="s">
        <v>73</v>
      </c>
      <c r="O10" s="10" t="s">
        <v>106</v>
      </c>
    </row>
    <row r="11" customFormat="false" ht="23.85" hidden="false" customHeight="false" outlineLevel="0" collapsed="false">
      <c r="A11" s="9" t="s">
        <v>107</v>
      </c>
      <c r="B11" s="9" t="n">
        <v>1</v>
      </c>
      <c r="C11" s="9" t="n">
        <v>1</v>
      </c>
      <c r="D11" s="10" t="s">
        <v>108</v>
      </c>
      <c r="E11" s="9" t="s">
        <v>109</v>
      </c>
      <c r="F11" s="9" t="s">
        <v>110</v>
      </c>
      <c r="G11" s="9" t="s">
        <v>6</v>
      </c>
      <c r="H11" s="9" t="n">
        <v>2</v>
      </c>
      <c r="I11" s="11" t="n">
        <v>12345.67</v>
      </c>
      <c r="J11" s="11" t="n">
        <v>12345.67</v>
      </c>
      <c r="K11" s="11" t="n">
        <v>0</v>
      </c>
      <c r="L11" s="9" t="s">
        <v>100</v>
      </c>
      <c r="M11" s="9" t="s">
        <v>105</v>
      </c>
      <c r="N11" s="9" t="s">
        <v>73</v>
      </c>
      <c r="O11" s="10" t="s">
        <v>74</v>
      </c>
    </row>
    <row r="12" customFormat="false" ht="15" hidden="false" customHeight="false" outlineLevel="0" collapsed="false">
      <c r="A12" s="9" t="s">
        <v>111</v>
      </c>
      <c r="B12" s="9" t="n">
        <v>1</v>
      </c>
      <c r="C12" s="9" t="n">
        <v>1</v>
      </c>
      <c r="D12" s="10" t="s">
        <v>112</v>
      </c>
      <c r="E12" s="9" t="s">
        <v>113</v>
      </c>
      <c r="F12" s="9" t="s">
        <v>114</v>
      </c>
      <c r="G12" s="9" t="s">
        <v>6</v>
      </c>
      <c r="H12" s="9" t="n">
        <v>2</v>
      </c>
      <c r="I12" s="11" t="n">
        <v>12345.67</v>
      </c>
      <c r="J12" s="11" t="n">
        <v>12345.67</v>
      </c>
      <c r="K12" s="11" t="n">
        <v>0</v>
      </c>
      <c r="L12" s="9" t="s">
        <v>64</v>
      </c>
      <c r="M12" s="9" t="s">
        <v>84</v>
      </c>
      <c r="N12" s="9" t="s">
        <v>73</v>
      </c>
      <c r="O12" s="10" t="s">
        <v>74</v>
      </c>
    </row>
    <row r="13" customFormat="false" ht="15" hidden="false" customHeight="false" outlineLevel="0" collapsed="false">
      <c r="A13" s="9" t="s">
        <v>115</v>
      </c>
      <c r="B13" s="9" t="n">
        <v>1</v>
      </c>
      <c r="C13" s="9" t="n">
        <v>1</v>
      </c>
      <c r="D13" s="10" t="s">
        <v>116</v>
      </c>
      <c r="E13" s="9" t="s">
        <v>117</v>
      </c>
      <c r="F13" s="9" t="s">
        <v>118</v>
      </c>
      <c r="G13" s="9" t="s">
        <v>6</v>
      </c>
      <c r="H13" s="9" t="n">
        <v>2</v>
      </c>
      <c r="I13" s="11" t="n">
        <v>25000</v>
      </c>
      <c r="J13" s="11" t="n">
        <v>25000</v>
      </c>
      <c r="K13" s="11" t="n">
        <v>0</v>
      </c>
      <c r="L13" s="9" t="s">
        <v>100</v>
      </c>
      <c r="M13" s="9" t="s">
        <v>105</v>
      </c>
      <c r="N13" s="9" t="s">
        <v>73</v>
      </c>
      <c r="O13" s="10" t="s">
        <v>74</v>
      </c>
    </row>
    <row r="14" customFormat="false" ht="15" hidden="false" customHeight="false" outlineLevel="0" collapsed="false">
      <c r="A14" s="9" t="s">
        <v>119</v>
      </c>
      <c r="B14" s="9" t="n">
        <v>1</v>
      </c>
      <c r="C14" s="9" t="n">
        <v>1</v>
      </c>
      <c r="D14" s="10" t="s">
        <v>120</v>
      </c>
      <c r="E14" s="9" t="s">
        <v>121</v>
      </c>
      <c r="F14" s="9" t="s">
        <v>83</v>
      </c>
      <c r="G14" s="9" t="s">
        <v>6</v>
      </c>
      <c r="H14" s="9" t="n">
        <v>2</v>
      </c>
      <c r="I14" s="11" t="n">
        <v>812450.55</v>
      </c>
      <c r="J14" s="11" t="n">
        <v>812450.55</v>
      </c>
      <c r="K14" s="11" t="n">
        <v>0</v>
      </c>
      <c r="L14" s="9" t="s">
        <v>71</v>
      </c>
      <c r="M14" s="9" t="s">
        <v>84</v>
      </c>
      <c r="N14" s="9" t="s">
        <v>73</v>
      </c>
      <c r="O14" s="10" t="s">
        <v>74</v>
      </c>
    </row>
    <row r="15" customFormat="false" ht="15" hidden="false" customHeight="false" outlineLevel="0" collapsed="false">
      <c r="A15" s="9" t="s">
        <v>122</v>
      </c>
      <c r="B15" s="9" t="n">
        <v>1</v>
      </c>
      <c r="C15" s="9" t="n">
        <v>1</v>
      </c>
      <c r="D15" s="10" t="s">
        <v>123</v>
      </c>
      <c r="E15" s="9" t="s">
        <v>124</v>
      </c>
      <c r="F15" s="9" t="s">
        <v>125</v>
      </c>
      <c r="G15" s="9" t="s">
        <v>6</v>
      </c>
      <c r="H15" s="9" t="n">
        <v>2</v>
      </c>
      <c r="I15" s="11" t="n">
        <v>12345.67</v>
      </c>
      <c r="J15" s="11" t="n">
        <v>12345.67</v>
      </c>
      <c r="K15" s="11" t="n">
        <v>0</v>
      </c>
      <c r="L15" s="9" t="s">
        <v>79</v>
      </c>
      <c r="M15" s="9" t="s">
        <v>84</v>
      </c>
      <c r="N15" s="9" t="s">
        <v>73</v>
      </c>
      <c r="O15" s="10" t="s">
        <v>74</v>
      </c>
    </row>
    <row r="16" customFormat="false" ht="15" hidden="false" customHeight="false" outlineLevel="0" collapsed="false">
      <c r="A16" s="9" t="s">
        <v>126</v>
      </c>
      <c r="B16" s="9" t="n">
        <v>1</v>
      </c>
      <c r="C16" s="9" t="n">
        <v>1</v>
      </c>
      <c r="D16" s="10" t="s">
        <v>127</v>
      </c>
      <c r="E16" s="9" t="s">
        <v>128</v>
      </c>
      <c r="F16" s="9" t="s">
        <v>129</v>
      </c>
      <c r="G16" s="9" t="s">
        <v>6</v>
      </c>
      <c r="H16" s="9" t="n">
        <v>2</v>
      </c>
      <c r="I16" s="11" t="n">
        <v>12345.67</v>
      </c>
      <c r="J16" s="11" t="n">
        <v>12345.67</v>
      </c>
      <c r="K16" s="11" t="n">
        <v>0</v>
      </c>
      <c r="L16" s="9" t="s">
        <v>79</v>
      </c>
      <c r="M16" s="9" t="s">
        <v>72</v>
      </c>
      <c r="N16" s="9" t="s">
        <v>65</v>
      </c>
      <c r="O16" s="10" t="s">
        <v>74</v>
      </c>
    </row>
  </sheetData>
  <autoFilter ref="A1:O16"/>
  <conditionalFormatting sqref="B2:B16">
    <cfRule type="colorScale" priority="2">
      <colorScale>
        <cfvo type="min" val="0"/>
        <cfvo type="max" val="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5" t="s">
        <v>130</v>
      </c>
      <c r="B1" s="5" t="s">
        <v>13</v>
      </c>
      <c r="C1" s="5" t="s">
        <v>14</v>
      </c>
      <c r="D1" s="5" t="s">
        <v>131</v>
      </c>
      <c r="E1" s="5" t="s">
        <v>15</v>
      </c>
      <c r="F1" s="5" t="s">
        <v>59</v>
      </c>
    </row>
    <row r="2" customFormat="false" ht="15" hidden="false" customHeight="false" outlineLevel="0" collapsed="false">
      <c r="A2" s="9" t="s">
        <v>94</v>
      </c>
      <c r="B2" s="9" t="s">
        <v>17</v>
      </c>
      <c r="C2" s="9" t="n">
        <v>2</v>
      </c>
      <c r="D2" s="9" t="s">
        <v>19</v>
      </c>
      <c r="E2" s="9" t="s">
        <v>18</v>
      </c>
      <c r="F2" s="10" t="s">
        <v>132</v>
      </c>
    </row>
    <row r="3" customFormat="false" ht="15" hidden="false" customHeight="false" outlineLevel="0" collapsed="false">
      <c r="A3" s="9" t="s">
        <v>87</v>
      </c>
      <c r="B3" s="9" t="s">
        <v>20</v>
      </c>
      <c r="C3" s="9" t="n">
        <v>3</v>
      </c>
      <c r="D3" s="9" t="s">
        <v>21</v>
      </c>
      <c r="E3" s="9" t="s">
        <v>18</v>
      </c>
      <c r="F3" s="10" t="s">
        <v>133</v>
      </c>
    </row>
    <row r="4" customFormat="false" ht="15" hidden="false" customHeight="false" outlineLevel="0" collapsed="false">
      <c r="A4" s="9" t="s">
        <v>109</v>
      </c>
      <c r="B4" s="9" t="s">
        <v>22</v>
      </c>
      <c r="C4" s="9" t="n">
        <v>1</v>
      </c>
      <c r="D4" s="9" t="s">
        <v>19</v>
      </c>
      <c r="E4" s="9" t="s">
        <v>18</v>
      </c>
      <c r="F4" s="10" t="s">
        <v>134</v>
      </c>
    </row>
    <row r="5" customFormat="false" ht="15" hidden="false" customHeight="false" outlineLevel="0" collapsed="false">
      <c r="A5" s="9" t="s">
        <v>113</v>
      </c>
      <c r="B5" s="9" t="s">
        <v>23</v>
      </c>
      <c r="C5" s="9" t="n">
        <v>1</v>
      </c>
      <c r="D5" s="9" t="s">
        <v>24</v>
      </c>
      <c r="E5" s="9" t="s">
        <v>18</v>
      </c>
      <c r="F5" s="10" t="s">
        <v>135</v>
      </c>
    </row>
    <row r="6" customFormat="false" ht="15" hidden="false" customHeight="false" outlineLevel="0" collapsed="false">
      <c r="A6" s="9" t="s">
        <v>117</v>
      </c>
      <c r="B6" s="9" t="s">
        <v>25</v>
      </c>
      <c r="C6" s="9" t="n">
        <v>1</v>
      </c>
      <c r="D6" s="9" t="s">
        <v>26</v>
      </c>
      <c r="E6" s="9" t="s">
        <v>18</v>
      </c>
      <c r="F6" s="10" t="s">
        <v>136</v>
      </c>
    </row>
    <row r="7" customFormat="false" ht="15" hidden="false" customHeight="false" outlineLevel="0" collapsed="false">
      <c r="A7" s="9" t="s">
        <v>137</v>
      </c>
      <c r="B7" s="9" t="s">
        <v>27</v>
      </c>
      <c r="C7" s="9" t="n">
        <v>2</v>
      </c>
      <c r="D7" s="9" t="s">
        <v>26</v>
      </c>
      <c r="E7" s="9" t="s">
        <v>18</v>
      </c>
      <c r="F7" s="10" t="s">
        <v>138</v>
      </c>
    </row>
    <row r="8" customFormat="false" ht="15" hidden="false" customHeight="false" outlineLevel="0" collapsed="false">
      <c r="A8" s="9" t="s">
        <v>121</v>
      </c>
      <c r="B8" s="9" t="s">
        <v>28</v>
      </c>
      <c r="C8" s="9" t="n">
        <v>1</v>
      </c>
      <c r="D8" s="9" t="s">
        <v>26</v>
      </c>
      <c r="E8" s="9" t="s">
        <v>18</v>
      </c>
      <c r="F8" s="10" t="s">
        <v>139</v>
      </c>
    </row>
    <row r="9" customFormat="false" ht="23.85" hidden="false" customHeight="false" outlineLevel="0" collapsed="false">
      <c r="A9" s="9" t="s">
        <v>140</v>
      </c>
      <c r="B9" s="9" t="s">
        <v>29</v>
      </c>
      <c r="C9" s="9" t="n">
        <v>2</v>
      </c>
      <c r="D9" s="9" t="s">
        <v>30</v>
      </c>
      <c r="E9" s="9" t="s">
        <v>18</v>
      </c>
      <c r="F9" s="10" t="s">
        <v>141</v>
      </c>
    </row>
    <row r="10" customFormat="false" ht="15" hidden="false" customHeight="false" outlineLevel="0" collapsed="false">
      <c r="A10" s="9" t="s">
        <v>124</v>
      </c>
      <c r="B10" s="9" t="s">
        <v>31</v>
      </c>
      <c r="C10" s="9" t="n">
        <v>1</v>
      </c>
      <c r="D10" s="9" t="s">
        <v>32</v>
      </c>
      <c r="E10" s="9" t="s">
        <v>18</v>
      </c>
      <c r="F10" s="10" t="s">
        <v>142</v>
      </c>
    </row>
    <row r="11" customFormat="false" ht="15" hidden="false" customHeight="false" outlineLevel="0" collapsed="false">
      <c r="A11" s="9" t="s">
        <v>128</v>
      </c>
      <c r="B11" s="9" t="s">
        <v>33</v>
      </c>
      <c r="C11" s="9" t="n">
        <v>1</v>
      </c>
      <c r="D11" s="9" t="s">
        <v>34</v>
      </c>
      <c r="E11" s="9" t="s">
        <v>18</v>
      </c>
      <c r="F11" s="10" t="s">
        <v>143</v>
      </c>
    </row>
    <row r="12" customFormat="false" ht="15" hidden="false" customHeight="false" outlineLevel="0" collapsed="false">
      <c r="A12" s="9" t="s">
        <v>91</v>
      </c>
      <c r="B12" s="9" t="s">
        <v>35</v>
      </c>
      <c r="C12" s="9" t="n">
        <v>3</v>
      </c>
      <c r="D12" s="9" t="s">
        <v>36</v>
      </c>
      <c r="E12" s="9" t="s">
        <v>18</v>
      </c>
      <c r="F12" s="10" t="s">
        <v>144</v>
      </c>
    </row>
    <row r="13" customFormat="false" ht="15" hidden="false" customHeight="false" outlineLevel="0" collapsed="false">
      <c r="A13" s="9" t="s">
        <v>98</v>
      </c>
      <c r="B13" s="9" t="s">
        <v>37</v>
      </c>
      <c r="C13" s="9" t="n">
        <v>2</v>
      </c>
      <c r="D13" s="9" t="s">
        <v>38</v>
      </c>
      <c r="E13" s="9" t="s">
        <v>18</v>
      </c>
      <c r="F13" s="10" t="s">
        <v>145</v>
      </c>
    </row>
    <row r="14" customFormat="false" ht="15" hidden="false" customHeight="false" outlineLevel="0" collapsed="false">
      <c r="A14" s="9" t="s">
        <v>103</v>
      </c>
      <c r="B14" s="9" t="s">
        <v>39</v>
      </c>
      <c r="C14" s="9" t="n">
        <v>2</v>
      </c>
      <c r="D14" s="9" t="s">
        <v>38</v>
      </c>
      <c r="E14" s="9" t="s">
        <v>18</v>
      </c>
      <c r="F14" s="10" t="s">
        <v>146</v>
      </c>
    </row>
    <row r="15" customFormat="false" ht="15" hidden="false" customHeight="false" outlineLevel="0" collapsed="false">
      <c r="A15" s="9" t="s">
        <v>147</v>
      </c>
      <c r="B15" s="9" t="s">
        <v>40</v>
      </c>
      <c r="C15" s="9" t="n">
        <v>3</v>
      </c>
      <c r="D15" s="9" t="s">
        <v>26</v>
      </c>
      <c r="E15" s="9" t="s">
        <v>18</v>
      </c>
      <c r="F15" s="1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149</v>
      </c>
    </row>
    <row r="3" customFormat="false" ht="15" hidden="false" customHeight="false" outlineLevel="0" collapsed="false">
      <c r="A3" s="12" t="s">
        <v>150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3" t="s">
        <v>151</v>
      </c>
    </row>
    <row r="6" customFormat="false" ht="15" hidden="false" customHeight="false" outlineLevel="0" collapsed="false">
      <c r="A6" s="10"/>
    </row>
    <row r="7" customFormat="false" ht="15" hidden="false" customHeight="false" outlineLevel="0" collapsed="false">
      <c r="A7" s="14" t="s">
        <v>152</v>
      </c>
    </row>
    <row r="8" customFormat="false" ht="15" hidden="false" customHeight="false" outlineLevel="0" collapsed="false">
      <c r="A8" s="10" t="s">
        <v>153</v>
      </c>
    </row>
    <row r="9" customFormat="false" ht="46.25" hidden="false" customHeight="false" outlineLevel="0" collapsed="false">
      <c r="A9" s="15" t="s">
        <v>154</v>
      </c>
    </row>
    <row r="10" customFormat="false" ht="15" hidden="false" customHeight="false" outlineLevel="0" collapsed="false">
      <c r="A10" s="15" t="s">
        <v>155</v>
      </c>
    </row>
    <row r="11" customFormat="false" ht="15" hidden="false" customHeight="false" outlineLevel="0" collapsed="false">
      <c r="A11" s="10" t="s">
        <v>156</v>
      </c>
    </row>
    <row r="12" customFormat="false" ht="15" hidden="false" customHeight="false" outlineLevel="0" collapsed="false">
      <c r="A12" s="10" t="s">
        <v>157</v>
      </c>
    </row>
    <row r="13" customFormat="false" ht="15" hidden="false" customHeight="false" outlineLevel="0" collapsed="false">
      <c r="A13" s="10" t="s">
        <v>158</v>
      </c>
    </row>
    <row r="14" customFormat="false" ht="15" hidden="false" customHeight="false" outlineLevel="0" collapsed="false">
      <c r="A14" s="10" t="s">
        <v>159</v>
      </c>
    </row>
    <row r="15" customFormat="false" ht="15" hidden="false" customHeight="false" outlineLevel="0" collapsed="false">
      <c r="A15" s="10" t="s">
        <v>160</v>
      </c>
    </row>
    <row r="16" customFormat="false" ht="15" hidden="false" customHeight="false" outlineLevel="0" collapsed="false">
      <c r="A16" s="10" t="s">
        <v>161</v>
      </c>
    </row>
    <row r="17" customFormat="false" ht="15" hidden="false" customHeight="false" outlineLevel="0" collapsed="false">
      <c r="A17" s="10" t="s">
        <v>162</v>
      </c>
    </row>
    <row r="18" customFormat="false" ht="15" hidden="false" customHeight="false" outlineLevel="0" collapsed="false">
      <c r="A18" s="10"/>
    </row>
    <row r="19" customFormat="false" ht="15" hidden="false" customHeight="false" outlineLevel="0" collapsed="false">
      <c r="A19" s="14" t="s">
        <v>163</v>
      </c>
    </row>
    <row r="20" customFormat="false" ht="15" hidden="false" customHeight="false" outlineLevel="0" collapsed="false">
      <c r="A20" s="10" t="s">
        <v>164</v>
      </c>
    </row>
    <row r="21" customFormat="false" ht="15" hidden="false" customHeight="false" outlineLevel="0" collapsed="false">
      <c r="A21" s="15" t="s">
        <v>165</v>
      </c>
    </row>
    <row r="22" customFormat="false" ht="15" hidden="false" customHeight="false" outlineLevel="0" collapsed="false">
      <c r="A22" s="15" t="s">
        <v>155</v>
      </c>
    </row>
    <row r="23" customFormat="false" ht="15" hidden="false" customHeight="false" outlineLevel="0" collapsed="false">
      <c r="A23" s="10" t="s">
        <v>166</v>
      </c>
    </row>
    <row r="24" customFormat="false" ht="15" hidden="false" customHeight="false" outlineLevel="0" collapsed="false">
      <c r="A24" s="10" t="s">
        <v>167</v>
      </c>
    </row>
    <row r="25" customFormat="false" ht="15" hidden="false" customHeight="false" outlineLevel="0" collapsed="false">
      <c r="A25" s="10"/>
    </row>
    <row r="26" customFormat="false" ht="15" hidden="false" customHeight="false" outlineLevel="0" collapsed="false">
      <c r="A26" s="14" t="s">
        <v>168</v>
      </c>
    </row>
    <row r="27" customFormat="false" ht="15" hidden="false" customHeight="false" outlineLevel="0" collapsed="false">
      <c r="A27" s="10" t="s">
        <v>169</v>
      </c>
    </row>
    <row r="28" customFormat="false" ht="23.85" hidden="false" customHeight="false" outlineLevel="0" collapsed="false">
      <c r="A28" s="15" t="s">
        <v>170</v>
      </c>
    </row>
    <row r="29" customFormat="false" ht="15" hidden="false" customHeight="false" outlineLevel="0" collapsed="false">
      <c r="A29" s="15" t="s">
        <v>155</v>
      </c>
    </row>
    <row r="30" customFormat="false" ht="15" hidden="false" customHeight="false" outlineLevel="0" collapsed="false">
      <c r="A30" s="10" t="s">
        <v>158</v>
      </c>
    </row>
    <row r="31" customFormat="false" ht="15" hidden="false" customHeight="false" outlineLevel="0" collapsed="false">
      <c r="A31" s="10" t="s">
        <v>171</v>
      </c>
    </row>
    <row r="32" customFormat="false" ht="15" hidden="false" customHeight="false" outlineLevel="0" collapsed="false">
      <c r="A32" s="10"/>
    </row>
    <row r="33" customFormat="false" ht="15" hidden="false" customHeight="false" outlineLevel="0" collapsed="false">
      <c r="A33" s="14" t="s">
        <v>172</v>
      </c>
    </row>
    <row r="34" customFormat="false" ht="15" hidden="false" customHeight="false" outlineLevel="0" collapsed="false">
      <c r="A34" s="10" t="s">
        <v>173</v>
      </c>
    </row>
    <row r="35" customFormat="false" ht="23.85" hidden="false" customHeight="false" outlineLevel="0" collapsed="false">
      <c r="A35" s="15" t="s">
        <v>174</v>
      </c>
    </row>
    <row r="36" customFormat="false" ht="15" hidden="false" customHeight="false" outlineLevel="0" collapsed="false">
      <c r="A36" s="15" t="s">
        <v>155</v>
      </c>
    </row>
    <row r="37" customFormat="false" ht="15" hidden="false" customHeight="false" outlineLevel="0" collapsed="false">
      <c r="A37" s="10" t="s">
        <v>175</v>
      </c>
    </row>
    <row r="38" customFormat="false" ht="15" hidden="false" customHeight="false" outlineLevel="0" collapsed="false">
      <c r="A38" s="10" t="s">
        <v>159</v>
      </c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4" t="s">
        <v>176</v>
      </c>
    </row>
    <row r="41" customFormat="false" ht="15" hidden="false" customHeight="false" outlineLevel="0" collapsed="false">
      <c r="A41" s="10" t="s">
        <v>177</v>
      </c>
    </row>
    <row r="42" customFormat="false" ht="15" hidden="false" customHeight="false" outlineLevel="0" collapsed="false">
      <c r="A42" s="15" t="s">
        <v>178</v>
      </c>
    </row>
    <row r="43" customFormat="false" ht="15" hidden="false" customHeight="false" outlineLevel="0" collapsed="false">
      <c r="A43" s="15" t="s">
        <v>155</v>
      </c>
    </row>
    <row r="44" customFormat="false" ht="15" hidden="false" customHeight="false" outlineLevel="0" collapsed="false">
      <c r="A44" s="10" t="s">
        <v>179</v>
      </c>
    </row>
    <row r="45" customFormat="false" ht="15" hidden="false" customHeight="false" outlineLevel="0" collapsed="false">
      <c r="A45" s="10"/>
    </row>
    <row r="46" customFormat="false" ht="15" hidden="false" customHeight="false" outlineLevel="0" collapsed="false">
      <c r="A46" s="14" t="s">
        <v>180</v>
      </c>
    </row>
    <row r="47" customFormat="false" ht="15" hidden="false" customHeight="false" outlineLevel="0" collapsed="false">
      <c r="A47" s="10" t="s">
        <v>181</v>
      </c>
    </row>
    <row r="48" customFormat="false" ht="15" hidden="false" customHeight="false" outlineLevel="0" collapsed="false">
      <c r="A48" s="15" t="s">
        <v>182</v>
      </c>
    </row>
    <row r="49" customFormat="false" ht="15" hidden="false" customHeight="false" outlineLevel="0" collapsed="false">
      <c r="A49" s="15" t="s">
        <v>155</v>
      </c>
    </row>
    <row r="50" customFormat="false" ht="15" hidden="false" customHeight="false" outlineLevel="0" collapsed="false">
      <c r="A50" s="10" t="s">
        <v>161</v>
      </c>
    </row>
    <row r="51" customFormat="false" ht="15" hidden="false" customHeight="false" outlineLevel="0" collapsed="false">
      <c r="A51" s="10"/>
    </row>
    <row r="52" customFormat="false" ht="15" hidden="false" customHeight="false" outlineLevel="0" collapsed="false">
      <c r="A52" s="14" t="s">
        <v>183</v>
      </c>
    </row>
    <row r="53" customFormat="false" ht="15" hidden="false" customHeight="false" outlineLevel="0" collapsed="false">
      <c r="A53" s="10" t="s">
        <v>184</v>
      </c>
    </row>
    <row r="54" customFormat="false" ht="15" hidden="false" customHeight="false" outlineLevel="0" collapsed="false">
      <c r="A54" s="15" t="s">
        <v>185</v>
      </c>
    </row>
    <row r="55" customFormat="false" ht="15" hidden="false" customHeight="false" outlineLevel="0" collapsed="false">
      <c r="A55" s="15" t="s">
        <v>155</v>
      </c>
    </row>
    <row r="56" customFormat="false" ht="15" hidden="false" customHeight="false" outlineLevel="0" collapsed="false">
      <c r="A56" s="10" t="s">
        <v>156</v>
      </c>
    </row>
    <row r="57" customFormat="false" ht="15" hidden="false" customHeight="false" outlineLevel="0" collapsed="false">
      <c r="A57" s="10"/>
    </row>
    <row r="58" customFormat="false" ht="15" hidden="false" customHeight="false" outlineLevel="0" collapsed="false">
      <c r="A58" s="14" t="s">
        <v>186</v>
      </c>
    </row>
    <row r="59" customFormat="false" ht="15" hidden="false" customHeight="false" outlineLevel="0" collapsed="false">
      <c r="A59" s="10" t="s">
        <v>187</v>
      </c>
    </row>
    <row r="60" customFormat="false" ht="15" hidden="false" customHeight="false" outlineLevel="0" collapsed="false">
      <c r="A60" s="15" t="s">
        <v>188</v>
      </c>
    </row>
    <row r="61" customFormat="false" ht="15" hidden="false" customHeight="false" outlineLevel="0" collapsed="false">
      <c r="A61" s="15" t="s">
        <v>155</v>
      </c>
    </row>
    <row r="62" customFormat="false" ht="15" hidden="false" customHeight="false" outlineLevel="0" collapsed="false">
      <c r="A62" s="10" t="s">
        <v>189</v>
      </c>
    </row>
    <row r="63" customFormat="false" ht="15" hidden="false" customHeight="false" outlineLevel="0" collapsed="false">
      <c r="A63" s="10"/>
    </row>
    <row r="64" customFormat="false" ht="15" hidden="false" customHeight="false" outlineLevel="0" collapsed="false">
      <c r="A64" s="14" t="s">
        <v>190</v>
      </c>
    </row>
    <row r="65" customFormat="false" ht="15" hidden="false" customHeight="false" outlineLevel="0" collapsed="false">
      <c r="A65" s="10" t="s">
        <v>191</v>
      </c>
    </row>
    <row r="66" customFormat="false" ht="15" hidden="false" customHeight="false" outlineLevel="0" collapsed="false">
      <c r="A66" s="15" t="s">
        <v>192</v>
      </c>
    </row>
    <row r="67" customFormat="false" ht="15" hidden="false" customHeight="false" outlineLevel="0" collapsed="false">
      <c r="A67" s="15" t="s">
        <v>155</v>
      </c>
    </row>
    <row r="68" customFormat="false" ht="15" hidden="false" customHeight="false" outlineLevel="0" collapsed="false">
      <c r="A68" s="10" t="s">
        <v>162</v>
      </c>
    </row>
    <row r="69" customFormat="false" ht="15" hidden="false" customHeight="false" outlineLevel="0" collapsed="false">
      <c r="A69" s="10"/>
    </row>
    <row r="70" customFormat="false" ht="15" hidden="false" customHeight="false" outlineLevel="0" collapsed="false">
      <c r="A70" s="14" t="s">
        <v>193</v>
      </c>
    </row>
    <row r="71" customFormat="false" ht="15" hidden="false" customHeight="false" outlineLevel="0" collapsed="false">
      <c r="A71" s="10" t="s">
        <v>194</v>
      </c>
    </row>
    <row r="72" customFormat="false" ht="15" hidden="false" customHeight="false" outlineLevel="0" collapsed="false">
      <c r="A72" s="15" t="s">
        <v>195</v>
      </c>
    </row>
    <row r="73" customFormat="false" ht="15" hidden="false" customHeight="false" outlineLevel="0" collapsed="false">
      <c r="A73" s="15" t="s">
        <v>155</v>
      </c>
    </row>
    <row r="74" customFormat="false" ht="15" hidden="false" customHeight="false" outlineLevel="0" collapsed="false">
      <c r="A74" s="1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2026-05-30T19:47:53Z</dcterms:created>
  <dc:creator>openpyxl</dc:creator>
  <dc:description/>
  <dc:language>en-US</dc:language>
  <cp:lastModifiedBy/>
  <dcterms:modified xsi:type="dcterms:W3CDTF">2026-05-30T19:47:53Z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