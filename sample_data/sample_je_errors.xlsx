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Review Queue" sheetId="2" state="visible" r:id="rId2"/>
    <sheet xmlns:r="http://schemas.openxmlformats.org/officeDocument/2006/relationships" name="Support Log" sheetId="3" state="visible" r:id="rId3"/>
    <sheet xmlns:r="http://schemas.openxmlformats.org/officeDocument/2006/relationships" name="Triage checks" sheetId="4" state="visible" r:id="rId4"/>
    <sheet xmlns:r="http://schemas.openxmlformats.org/officeDocument/2006/relationships" name="Triage" sheetId="5" state="visible" r:id="rId5"/>
  </sheets>
  <definedNames>
    <definedName name="_xlnm._FilterDatabase" localSheetId="1" hidden="1">'Review Queue'!$A$1:$AB$11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(#,##0.0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9A9A9A"/>
      <sz val="10"/>
    </font>
    <font>
      <name val="Arial"/>
      <i val="1"/>
      <color rgb="00595959"/>
      <sz val="9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name val="Arial"/>
        <b val="1"/>
        <color rgb="009C1B1B"/>
        <sz val="10"/>
      </font>
      <fill>
        <patternFill patternType="solid">
          <fgColor rgb="00F4B5B5"/>
        </patternFill>
      </fill>
    </dxf>
    <dxf>
      <font>
        <name val="Arial"/>
        <color rgb="009C6A1B"/>
        <sz val="10"/>
      </font>
      <fill>
        <patternFill patternType="solid">
          <fgColor rgb="00FFE4A8"/>
        </patternFill>
      </fill>
    </dxf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0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4B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Triage!A7" TargetMode="External" Id="rId1"/><Relationship Type="http://schemas.openxmlformats.org/officeDocument/2006/relationships/hyperlink" Target="#Triage!A14" TargetMode="External" Id="rId2"/><Relationship Type="http://schemas.openxmlformats.org/officeDocument/2006/relationships/hyperlink" Target="#Triage!A20" TargetMode="External" Id="rId3"/><Relationship Type="http://schemas.openxmlformats.org/officeDocument/2006/relationships/hyperlink" Target="#Triage!A26" TargetMode="External" Id="rId4"/><Relationship Type="http://schemas.openxmlformats.org/officeDocument/2006/relationships/hyperlink" Target="#Triage!A31" TargetMode="External" Id="rId5"/><Relationship Type="http://schemas.openxmlformats.org/officeDocument/2006/relationships/hyperlink" Target="#Triage!A36" TargetMode="External" Id="rId6"/><Relationship Type="http://schemas.openxmlformats.org/officeDocument/2006/relationships/hyperlink" Target="#Triage!A41" TargetMode="External" Id="rId7"/><Relationship Type="http://schemas.openxmlformats.org/officeDocument/2006/relationships/hyperlink" Target="#Triage!A46" TargetMode="External" Id="rId8"/><Relationship Type="http://schemas.openxmlformats.org/officeDocument/2006/relationships/hyperlink" Target="#Triage!A51" TargetMode="External" Id="rId9"/><Relationship Type="http://schemas.openxmlformats.org/officeDocument/2006/relationships/hyperlink" Target="#Triage!A5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6" customWidth="1" min="4" max="4"/>
    <col width="14" customWidth="1" min="5" max="5"/>
    <col width="42" customWidth="1" min="6" max="6"/>
  </cols>
  <sheetData>
    <row r="1">
      <c r="A1" s="1" t="inlineStr">
        <is>
          <t>Journal Entry Review</t>
        </is>
      </c>
    </row>
    <row r="3">
      <c r="A3" s="2" t="inlineStr">
        <is>
          <t>Source file</t>
        </is>
      </c>
      <c r="B3" s="3" t="inlineStr">
        <is>
          <t>sample_je_errors.csv</t>
        </is>
      </c>
    </row>
    <row r="4">
      <c r="A4" s="2" t="inlineStr">
        <is>
          <t>Run timestamp</t>
        </is>
      </c>
      <c r="B4" s="3" t="inlineStr">
        <is>
          <t>2026-05-30 21:52</t>
        </is>
      </c>
    </row>
    <row r="5">
      <c r="A5" s="2" t="inlineStr">
        <is>
          <t>Period(s)</t>
        </is>
      </c>
      <c r="B5" s="3" t="inlineStr">
        <is>
          <t>2024-11, 2027-03</t>
        </is>
      </c>
    </row>
    <row r="6">
      <c r="A6" s="2" t="inlineStr">
        <is>
          <t>Total entries</t>
        </is>
      </c>
      <c r="B6" s="3" t="n">
        <v>12</v>
      </c>
    </row>
    <row r="7">
      <c r="A7" s="2" t="inlineStr">
        <is>
          <t>Total lines</t>
        </is>
      </c>
      <c r="B7" s="3" t="n">
        <v>25</v>
      </c>
    </row>
    <row r="8">
      <c r="A8" s="2" t="inlineStr">
        <is>
          <t>Surfaced for review</t>
        </is>
      </c>
      <c r="B8" s="3" t="n">
        <v>10</v>
      </c>
    </row>
    <row r="9">
      <c r="A9" s="2" t="inlineStr">
        <is>
          <t>Share surfaced</t>
        </is>
      </c>
      <c r="B9" s="3" t="inlineStr">
        <is>
          <t>83.3%</t>
        </is>
      </c>
    </row>
    <row r="10">
      <c r="A10" s="2" t="inlineStr">
        <is>
          <t>Likely recording errors</t>
        </is>
      </c>
      <c r="B10" s="3" t="n">
        <v>10</v>
      </c>
    </row>
    <row r="11">
      <c r="A11" s="2" t="inlineStr">
        <is>
          <t>Anomalies to confirm</t>
        </is>
      </c>
      <c r="B11" s="3" t="n">
        <v>2</v>
      </c>
    </row>
    <row r="13">
      <c r="A13" s="4" t="inlineStr">
        <is>
          <t>Review status</t>
        </is>
      </c>
    </row>
    <row r="14">
      <c r="A14" s="2" t="inlineStr">
        <is>
          <t>Entries with a disposition</t>
        </is>
      </c>
      <c r="B14" s="3" t="inlineStr">
        <is>
          <t>0 of 10</t>
        </is>
      </c>
    </row>
    <row r="15">
      <c r="A15" s="2" t="inlineStr">
        <is>
          <t>Support reviewed / not required</t>
        </is>
      </c>
      <c r="B15" s="3" t="inlineStr">
        <is>
          <t>0 of 10</t>
        </is>
      </c>
    </row>
    <row r="17">
      <c r="A17" s="4" t="inlineStr">
        <is>
          <t>Population shape</t>
        </is>
      </c>
    </row>
    <row r="18">
      <c r="A18" s="2" t="inlineStr">
        <is>
          <t>Unique preparers (surfaced)</t>
        </is>
      </c>
      <c r="B18" s="3" t="n">
        <v>2</v>
      </c>
    </row>
    <row r="19">
      <c r="A19" s="2" t="inlineStr">
        <is>
          <t>Unique approvers (surfaced)</t>
        </is>
      </c>
      <c r="B19" s="3" t="n">
        <v>1</v>
      </c>
    </row>
    <row r="20">
      <c r="A20" s="2" t="inlineStr">
        <is>
          <t>Earliest surfaced date</t>
        </is>
      </c>
      <c r="B20" s="3" t="inlineStr">
        <is>
          <t>2024-11-04</t>
        </is>
      </c>
    </row>
    <row r="21">
      <c r="A21" s="2" t="inlineStr">
        <is>
          <t>Latest surfaced date</t>
        </is>
      </c>
      <c r="B21" s="3" t="inlineStr">
        <is>
          <t>2027-03-01</t>
        </is>
      </c>
    </row>
    <row r="22">
      <c r="A22" s="2" t="inlineStr">
        <is>
          <t>Total surfaced $ (debits)</t>
        </is>
      </c>
      <c r="B22" s="3" t="n">
        <v>7350.12</v>
      </c>
    </row>
    <row r="24">
      <c r="A24" s="4" t="inlineStr">
        <is>
          <t>First-pass checks (triage)</t>
        </is>
      </c>
    </row>
    <row r="25">
      <c r="A25" s="5" t="inlineStr">
        <is>
          <t>Check</t>
        </is>
      </c>
      <c r="B25" s="5" t="inlineStr">
        <is>
          <t>Weight</t>
        </is>
      </c>
      <c r="C25" s="5" t="inlineStr">
        <is>
          <t>Ran?</t>
        </is>
      </c>
      <c r="D25" s="5" t="inlineStr">
        <is>
          <t>Entries surfaced</t>
        </is>
      </c>
      <c r="E25" s="5" t="inlineStr">
        <is>
          <t>% of surfaced</t>
        </is>
      </c>
      <c r="F25" s="5" t="inlineStr">
        <is>
          <t>What it needs</t>
        </is>
      </c>
    </row>
    <row r="26">
      <c r="A26" s="3" t="inlineStr">
        <is>
          <t>Posted on a weekend</t>
        </is>
      </c>
      <c r="B26" s="6" t="n">
        <v>2</v>
      </c>
      <c r="C26" s="6" t="inlineStr">
        <is>
          <t>Yes</t>
        </is>
      </c>
      <c r="D26" s="6">
        <f>COUNTIF('Review Queue'!F:F,"*"&amp;"WEEKEND_POSTING"&amp;"*")</f>
        <v/>
      </c>
      <c r="E26" s="7">
        <f>IFERROR(D26/10,0)</f>
        <v/>
      </c>
      <c r="F26" s="3" t="inlineStr">
        <is>
          <t>entry_date</t>
        </is>
      </c>
    </row>
    <row r="27">
      <c r="A27" s="3" t="inlineStr">
        <is>
          <t>Posted after the period it affects</t>
        </is>
      </c>
      <c r="B27" s="6" t="n">
        <v>3</v>
      </c>
      <c r="C27" s="6" t="inlineStr">
        <is>
          <t>Yes</t>
        </is>
      </c>
      <c r="D27" s="6">
        <f>COUNTIF('Review Queue'!F:F,"*"&amp;"AFTER_PERIOD_END"&amp;"*")</f>
        <v/>
      </c>
      <c r="E27" s="7">
        <f>IFERROR(D27/10,0)</f>
        <v/>
      </c>
      <c r="F27" s="3" t="inlineStr">
        <is>
          <t>entry_date,period</t>
        </is>
      </c>
    </row>
    <row r="28">
      <c r="A28" s="3" t="inlineStr">
        <is>
          <t>Posted in the last days of the period</t>
        </is>
      </c>
      <c r="B28" s="6" t="n">
        <v>1</v>
      </c>
      <c r="C28" s="6" t="inlineStr">
        <is>
          <t>Yes</t>
        </is>
      </c>
      <c r="D28" s="6">
        <f>COUNTIF('Review Queue'!F:F,"*"&amp;"PERIOD_END_CONCENTRATION"&amp;"*")</f>
        <v/>
      </c>
      <c r="E28" s="7">
        <f>IFERROR(D28/10,0)</f>
        <v/>
      </c>
      <c r="F28" s="3" t="inlineStr">
        <is>
          <t>entry_date</t>
        </is>
      </c>
    </row>
    <row r="29">
      <c r="A29" s="8" t="inlineStr">
        <is>
          <t>Posted outside business hours</t>
        </is>
      </c>
      <c r="B29" s="9" t="n">
        <v>1</v>
      </c>
      <c r="C29" s="9" t="inlineStr">
        <is>
          <t>No — field missing</t>
        </is>
      </c>
      <c r="D29" s="9">
        <f>COUNTIF('Review Queue'!F:F,"*"&amp;"OFFHOURS_POSTING"&amp;"*")</f>
        <v/>
      </c>
      <c r="E29" s="10">
        <f>IFERROR(D29/10,0)</f>
        <v/>
      </c>
      <c r="F29" s="8" t="inlineStr">
        <is>
          <t>posted_at</t>
        </is>
      </c>
    </row>
    <row r="30">
      <c r="A30" s="3" t="inlineStr">
        <is>
          <t>Round-dollar amount</t>
        </is>
      </c>
      <c r="B30" s="6" t="n">
        <v>1</v>
      </c>
      <c r="C30" s="6" t="inlineStr">
        <is>
          <t>Yes</t>
        </is>
      </c>
      <c r="D30" s="6">
        <f>COUNTIF('Review Queue'!F:F,"*"&amp;"ROUND_AMOUNT"&amp;"*")</f>
        <v/>
      </c>
      <c r="E30" s="7">
        <f>IFERROR(D30/10,0)</f>
        <v/>
      </c>
      <c r="F30" s="3" t="inlineStr">
        <is>
          <t>amount</t>
        </is>
      </c>
    </row>
    <row r="31">
      <c r="A31" s="3" t="inlineStr">
        <is>
          <t>Just below an approval threshold</t>
        </is>
      </c>
      <c r="B31" s="6" t="n">
        <v>2</v>
      </c>
      <c r="C31" s="6" t="inlineStr">
        <is>
          <t>Yes</t>
        </is>
      </c>
      <c r="D31" s="6">
        <f>COUNTIF('Review Queue'!F:F,"*"&amp;"BELOW_THRESHOLD"&amp;"*")</f>
        <v/>
      </c>
      <c r="E31" s="7">
        <f>IFERROR(D31/10,0)</f>
        <v/>
      </c>
      <c r="F31" s="3" t="inlineStr">
        <is>
          <t>amount</t>
        </is>
      </c>
    </row>
    <row r="32">
      <c r="A32" s="3" t="inlineStr">
        <is>
          <t>Unusually large amount</t>
        </is>
      </c>
      <c r="B32" s="6" t="n">
        <v>1</v>
      </c>
      <c r="C32" s="6" t="inlineStr">
        <is>
          <t>Yes</t>
        </is>
      </c>
      <c r="D32" s="6">
        <f>COUNTIF('Review Queue'!F:F,"*"&amp;"LARGE_OUTLIER"&amp;"*")</f>
        <v/>
      </c>
      <c r="E32" s="7">
        <f>IFERROR(D32/10,0)</f>
        <v/>
      </c>
      <c r="F32" s="3" t="inlineStr">
        <is>
          <t>amount</t>
        </is>
      </c>
    </row>
    <row r="33">
      <c r="A33" s="3" t="inlineStr">
        <is>
          <t>Seldom-used account</t>
        </is>
      </c>
      <c r="B33" s="6" t="n">
        <v>2</v>
      </c>
      <c r="C33" s="6" t="inlineStr">
        <is>
          <t>Yes</t>
        </is>
      </c>
      <c r="D33" s="6">
        <f>COUNTIF('Review Queue'!F:F,"*"&amp;"SELDOM_ACCOUNT"&amp;"*")</f>
        <v/>
      </c>
      <c r="E33" s="7">
        <f>IFERROR(D33/10,0)</f>
        <v/>
      </c>
      <c r="F33" s="3" t="inlineStr">
        <is>
          <t>account</t>
        </is>
      </c>
    </row>
    <row r="34">
      <c r="A34" s="3" t="inlineStr">
        <is>
          <t>Sensitive account</t>
        </is>
      </c>
      <c r="B34" s="6" t="n">
        <v>1</v>
      </c>
      <c r="C34" s="6" t="inlineStr">
        <is>
          <t>Yes</t>
        </is>
      </c>
      <c r="D34" s="6">
        <f>COUNTIF('Review Queue'!F:F,"*"&amp;"SENSITIVE_ACCOUNT"&amp;"*")</f>
        <v/>
      </c>
      <c r="E34" s="7">
        <f>IFERROR(D34/10,0)</f>
        <v/>
      </c>
      <c r="F34" s="3" t="inlineStr">
        <is>
          <t>account_name</t>
        </is>
      </c>
    </row>
    <row r="35">
      <c r="A35" s="3" t="inlineStr">
        <is>
          <t>Manual entry</t>
        </is>
      </c>
      <c r="B35" s="6" t="n">
        <v>1</v>
      </c>
      <c r="C35" s="6" t="inlineStr">
        <is>
          <t>Yes</t>
        </is>
      </c>
      <c r="D35" s="6">
        <f>COUNTIF('Review Queue'!F:F,"*"&amp;"MANUAL_SOURCE"&amp;"*")</f>
        <v/>
      </c>
      <c r="E35" s="7">
        <f>IFERROR(D35/10,0)</f>
        <v/>
      </c>
      <c r="F35" s="3" t="inlineStr">
        <is>
          <t>source</t>
        </is>
      </c>
    </row>
    <row r="36">
      <c r="A36" s="3" t="inlineStr">
        <is>
          <t>Preparer is also approver</t>
        </is>
      </c>
      <c r="B36" s="6" t="n">
        <v>3</v>
      </c>
      <c r="C36" s="6" t="inlineStr">
        <is>
          <t>Yes</t>
        </is>
      </c>
      <c r="D36" s="6">
        <f>COUNTIF('Review Queue'!F:F,"*"&amp;"SOD_CONFLICT"&amp;"*")</f>
        <v/>
      </c>
      <c r="E36" s="7">
        <f>IFERROR(D36/10,0)</f>
        <v/>
      </c>
      <c r="F36" s="3" t="inlineStr">
        <is>
          <t>entered_by,approved_by</t>
        </is>
      </c>
    </row>
    <row r="37">
      <c r="A37" s="3" t="inlineStr">
        <is>
          <t>Missing description</t>
        </is>
      </c>
      <c r="B37" s="6" t="n">
        <v>2</v>
      </c>
      <c r="C37" s="6" t="inlineStr">
        <is>
          <t>Yes</t>
        </is>
      </c>
      <c r="D37" s="6">
        <f>COUNTIF('Review Queue'!F:F,"*"&amp;"BLANK_DESCRIPTION"&amp;"*")</f>
        <v/>
      </c>
      <c r="E37" s="7">
        <f>IFERROR(D37/10,0)</f>
        <v/>
      </c>
      <c r="F37" s="3" t="inlineStr">
        <is>
          <t>description</t>
        </is>
      </c>
    </row>
    <row r="38">
      <c r="A38" s="3" t="inlineStr">
        <is>
          <t>Suspicious description keyword</t>
        </is>
      </c>
      <c r="B38" s="6" t="n">
        <v>2</v>
      </c>
      <c r="C38" s="6" t="inlineStr">
        <is>
          <t>Yes</t>
        </is>
      </c>
      <c r="D38" s="6">
        <f>COUNTIF('Review Queue'!F:F,"*"&amp;"SUSPICIOUS_KEYWORD"&amp;"*")</f>
        <v/>
      </c>
      <c r="E38" s="7">
        <f>IFERROR(D38/10,0)</f>
        <v/>
      </c>
      <c r="F38" s="3" t="inlineStr">
        <is>
          <t>description</t>
        </is>
      </c>
    </row>
    <row r="39">
      <c r="A39" s="3" t="inlineStr">
        <is>
          <t>Entry does not balance</t>
        </is>
      </c>
      <c r="B39" s="6" t="n">
        <v>3</v>
      </c>
      <c r="C39" s="6" t="inlineStr">
        <is>
          <t>Yes</t>
        </is>
      </c>
      <c r="D39" s="6">
        <f>COUNTIF('Review Queue'!F:F,"*"&amp;"UNBALANCED_ENTRY"&amp;"*")</f>
        <v/>
      </c>
      <c r="E39" s="7">
        <f>IFERROR(D39/10,0)</f>
        <v/>
      </c>
      <c r="F39" s="3" t="inlineStr">
        <is>
          <t>amount</t>
        </is>
      </c>
    </row>
    <row r="40">
      <c r="A40" s="3" t="inlineStr">
        <is>
          <t>Possible duplicate entry</t>
        </is>
      </c>
      <c r="B40" s="6" t="n">
        <v>3</v>
      </c>
      <c r="C40" s="6" t="inlineStr">
        <is>
          <t>Yes</t>
        </is>
      </c>
      <c r="D40" s="6">
        <f>COUNTIF('Review Queue'!F:F,"*"&amp;"DUPLICATE_ENTRY"&amp;"*")</f>
        <v/>
      </c>
      <c r="E40" s="7">
        <f>IFERROR(D40/10,0)</f>
        <v/>
      </c>
      <c r="F40" s="3" t="inlineStr">
        <is>
          <t>account,amount</t>
        </is>
      </c>
    </row>
    <row r="41">
      <c r="A41" s="3" t="inlineStr">
        <is>
          <t>Reversed shortly after posting</t>
        </is>
      </c>
      <c r="B41" s="6" t="n">
        <v>2</v>
      </c>
      <c r="C41" s="6" t="inlineStr">
        <is>
          <t>Yes</t>
        </is>
      </c>
      <c r="D41" s="6">
        <f>COUNTIF('Review Queue'!F:F,"*"&amp;"QUICK_REVERSAL"&amp;"*")</f>
        <v/>
      </c>
      <c r="E41" s="7">
        <f>IFERROR(D41/10,0)</f>
        <v/>
      </c>
      <c r="F41" s="3" t="inlineStr">
        <is>
          <t>entry_date,account,amount</t>
        </is>
      </c>
    </row>
    <row r="42">
      <c r="A42" s="3" t="inlineStr">
        <is>
          <t>Gap in entry numbering</t>
        </is>
      </c>
      <c r="B42" s="6" t="n">
        <v>1</v>
      </c>
      <c r="C42" s="6" t="inlineStr">
        <is>
          <t>Yes</t>
        </is>
      </c>
      <c r="D42" s="6">
        <f>COUNTIF('Review Queue'!F:F,"*"&amp;"NUMBERING_GAP"&amp;"*")</f>
        <v/>
      </c>
      <c r="E42" s="7">
        <f>IFERROR(D42/10,0)</f>
        <v/>
      </c>
      <c r="F42" s="3" t="inlineStr">
        <is>
          <t>je_id</t>
        </is>
      </c>
    </row>
    <row r="43">
      <c r="A43" s="3" t="inlineStr">
        <is>
          <t>Posted by an infrequent user</t>
        </is>
      </c>
      <c r="B43" s="6" t="n">
        <v>2</v>
      </c>
      <c r="C43" s="6" t="inlineStr">
        <is>
          <t>Yes</t>
        </is>
      </c>
      <c r="D43" s="6">
        <f>COUNTIF('Review Queue'!F:F,"*"&amp;"RARE_USER"&amp;"*")</f>
        <v/>
      </c>
      <c r="E43" s="7">
        <f>IFERROR(D43/10,0)</f>
        <v/>
      </c>
      <c r="F43" s="3" t="inlineStr">
        <is>
          <t>entered_by</t>
        </is>
      </c>
    </row>
    <row r="44">
      <c r="A44" s="3" t="inlineStr">
        <is>
          <t>All lines on one side</t>
        </is>
      </c>
      <c r="B44" s="6" t="n">
        <v>3</v>
      </c>
      <c r="C44" s="6" t="inlineStr">
        <is>
          <t>Yes</t>
        </is>
      </c>
      <c r="D44" s="6">
        <f>COUNTIF('Review Queue'!F:F,"*"&amp;"SINGLE_SIDED_ENTRY"&amp;"*")</f>
        <v/>
      </c>
      <c r="E44" s="7">
        <f>IFERROR(D44/10,0)</f>
        <v/>
      </c>
      <c r="F44" s="3" t="inlineStr">
        <is>
          <t>debit,credit</t>
        </is>
      </c>
    </row>
    <row r="45">
      <c r="A45" s="3" t="inlineStr">
        <is>
          <t>Debit and credit on one line</t>
        </is>
      </c>
      <c r="B45" s="6" t="n">
        <v>3</v>
      </c>
      <c r="C45" s="6" t="inlineStr">
        <is>
          <t>Yes</t>
        </is>
      </c>
      <c r="D45" s="6">
        <f>COUNTIF('Review Queue'!F:F,"*"&amp;"DEBIT_AND_CREDIT_SAME_LINE"&amp;"*")</f>
        <v/>
      </c>
      <c r="E45" s="7">
        <f>IFERROR(D45/10,0)</f>
        <v/>
      </c>
      <c r="F45" s="3" t="inlineStr">
        <is>
          <t>debit,credit</t>
        </is>
      </c>
    </row>
    <row r="46">
      <c r="A46" s="3" t="inlineStr">
        <is>
          <t>Line with no amount</t>
        </is>
      </c>
      <c r="B46" s="6" t="n">
        <v>2</v>
      </c>
      <c r="C46" s="6" t="inlineStr">
        <is>
          <t>Yes</t>
        </is>
      </c>
      <c r="D46" s="6">
        <f>COUNTIF('Review Queue'!F:F,"*"&amp;"BLANK_LINE_AMOUNT"&amp;"*")</f>
        <v/>
      </c>
      <c r="E46" s="7">
        <f>IFERROR(D46/10,0)</f>
        <v/>
      </c>
      <c r="F46" s="3" t="inlineStr">
        <is>
          <t>debit,credit</t>
        </is>
      </c>
    </row>
    <row r="47">
      <c r="A47" s="3" t="inlineStr">
        <is>
          <t>Negative debit/credit</t>
        </is>
      </c>
      <c r="B47" s="6" t="n">
        <v>2</v>
      </c>
      <c r="C47" s="6" t="inlineStr">
        <is>
          <t>Yes</t>
        </is>
      </c>
      <c r="D47" s="6">
        <f>COUNTIF('Review Queue'!F:F,"*"&amp;"NEGATIVE_DR_CR"&amp;"*")</f>
        <v/>
      </c>
      <c r="E47" s="7">
        <f>IFERROR(D47/10,0)</f>
        <v/>
      </c>
      <c r="F47" s="3" t="inlineStr">
        <is>
          <t>debit,credit</t>
        </is>
      </c>
    </row>
    <row r="48">
      <c r="A48" s="3" t="inlineStr">
        <is>
          <t>Line missing an account</t>
        </is>
      </c>
      <c r="B48" s="6" t="n">
        <v>3</v>
      </c>
      <c r="C48" s="6" t="inlineStr">
        <is>
          <t>Yes</t>
        </is>
      </c>
      <c r="D48" s="6">
        <f>COUNTIF('Review Queue'!F:F,"*"&amp;"MISSING_ACCOUNT"&amp;"*")</f>
        <v/>
      </c>
      <c r="E48" s="7">
        <f>IFERROR(D48/10,0)</f>
        <v/>
      </c>
      <c r="F48" s="3" t="inlineStr">
        <is>
          <t>account</t>
        </is>
      </c>
    </row>
    <row r="49">
      <c r="A49" s="3" t="inlineStr">
        <is>
          <t>Account number / name mismatch</t>
        </is>
      </c>
      <c r="B49" s="6" t="n">
        <v>1</v>
      </c>
      <c r="C49" s="6" t="inlineStr">
        <is>
          <t>Yes</t>
        </is>
      </c>
      <c r="D49" s="6">
        <f>COUNTIF('Review Queue'!F:F,"*"&amp;"ACCOUNT_NAME_INCONSISTENT"&amp;"*")</f>
        <v/>
      </c>
      <c r="E49" s="7">
        <f>IFERROR(D49/10,0)</f>
        <v/>
      </c>
      <c r="F49" s="3" t="inlineStr">
        <is>
          <t>account,account_name</t>
        </is>
      </c>
    </row>
    <row r="50">
      <c r="A50" s="3" t="inlineStr">
        <is>
          <t>Date outside its period</t>
        </is>
      </c>
      <c r="B50" s="6" t="n">
        <v>2</v>
      </c>
      <c r="C50" s="6" t="inlineStr">
        <is>
          <t>Yes</t>
        </is>
      </c>
      <c r="D50" s="6">
        <f>COUNTIF('Review Queue'!F:F,"*"&amp;"PERIOD_DATE_MISMATCH"&amp;"*")</f>
        <v/>
      </c>
      <c r="E50" s="7">
        <f>IFERROR(D50/10,0)</f>
        <v/>
      </c>
      <c r="F50" s="3" t="inlineStr">
        <is>
          <t>entry_date,period</t>
        </is>
      </c>
    </row>
    <row r="51">
      <c r="A51" s="3" t="inlineStr">
        <is>
          <t>More than 2 decimal places</t>
        </is>
      </c>
      <c r="B51" s="6" t="n">
        <v>1</v>
      </c>
      <c r="C51" s="6" t="inlineStr">
        <is>
          <t>Yes</t>
        </is>
      </c>
      <c r="D51" s="6">
        <f>COUNTIF('Review Queue'!F:F,"*"&amp;"EXCESS_PRECISION"&amp;"*")</f>
        <v/>
      </c>
      <c r="E51" s="7">
        <f>IFERROR(D51/10,0)</f>
        <v/>
      </c>
      <c r="F51" s="3" t="inlineStr">
        <is>
          <t>amount</t>
        </is>
      </c>
    </row>
    <row r="52">
      <c r="A52" s="3" t="inlineStr">
        <is>
          <t>Future-dated entry</t>
        </is>
      </c>
      <c r="B52" s="6" t="n">
        <v>2</v>
      </c>
      <c r="C52" s="6" t="inlineStr">
        <is>
          <t>Yes</t>
        </is>
      </c>
      <c r="D52" s="6">
        <f>COUNTIF('Review Queue'!F:F,"*"&amp;"FUTURE_DATE"&amp;"*")</f>
        <v/>
      </c>
      <c r="E52" s="7">
        <f>IFERROR(D52/10,0)</f>
        <v/>
      </c>
      <c r="F52" s="3" t="inlineStr">
        <is>
          <t>entry_date</t>
        </is>
      </c>
    </row>
    <row r="53">
      <c r="A53" s="3" t="inlineStr">
        <is>
          <t>Account not in chart of accounts</t>
        </is>
      </c>
      <c r="B53" s="6" t="n">
        <v>2</v>
      </c>
      <c r="C53" s="6" t="inlineStr">
        <is>
          <t>Yes</t>
        </is>
      </c>
      <c r="D53" s="6">
        <f>COUNTIF('Review Queue'!F:F,"*"&amp;"UNKNOWN_ACCOUNT"&amp;"*")</f>
        <v/>
      </c>
      <c r="E53" s="7">
        <f>IFERROR(D53/10,0)</f>
        <v/>
      </c>
      <c r="F53" s="3" t="inlineStr">
        <is>
          <t>account</t>
        </is>
      </c>
    </row>
    <row r="55">
      <c r="A55" s="11" t="inlineStr">
        <is>
          <t>Benford diagnostic: Too few amounts for a reliable Benford read (need ≥ 50 amounts).</t>
        </is>
      </c>
    </row>
    <row r="58" ht="60" customHeight="1">
      <c r="A58" s="11" t="inlineStr">
        <is>
          <t>This workbook documents a review. The automated checks are a first-pass screen that surfaces entries to review — they are not conclusions. A reviewer confirms whether each entry was recorded correctly using support. Runs entirely locally; no ledger or support data leaves this machine.</t>
        </is>
      </c>
    </row>
  </sheetData>
  <mergeCells count="3">
    <mergeCell ref="A58:F58"/>
    <mergeCell ref="A55:F5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8" customWidth="1" min="4" max="4"/>
    <col width="52" customWidth="1" min="5" max="5"/>
    <col width="20" customWidth="1" min="6" max="6"/>
    <col width="12" customWidth="1" min="7" max="7"/>
    <col width="9" customWidth="1" min="8" max="8"/>
    <col width="6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9" customWidth="1" min="15" max="15"/>
    <col width="26" customWidth="1" min="16" max="16"/>
    <col width="10" customWidth="1" min="17" max="17"/>
    <col width="22" customWidth="1" min="18" max="18"/>
    <col width="22" customWidth="1" min="19" max="19"/>
    <col width="11" customWidth="1" min="20" max="20"/>
    <col width="11" customWidth="1" min="21" max="21"/>
    <col width="11" customWidth="1" min="22" max="22"/>
    <col width="12" customWidth="1" min="23" max="23"/>
    <col width="34" customWidth="1" min="24" max="24"/>
    <col width="26" customWidth="1" min="25" max="25"/>
    <col width="12" customWidth="1" min="26" max="26"/>
    <col width="12" customWidth="1" min="27" max="27"/>
    <col width="40" customWidth="1" min="28" max="28"/>
  </cols>
  <sheetData>
    <row r="1">
      <c r="A1" s="5" t="inlineStr">
        <is>
          <t>JE ID</t>
        </is>
      </c>
      <c r="B1" s="5" t="inlineStr">
        <is>
          <t>Review priority</t>
        </is>
      </c>
      <c r="C1" s="5" t="inlineStr">
        <is>
          <t>Priority</t>
        </is>
      </c>
      <c r="D1" s="5" t="inlineStr">
        <is>
          <t># Checks</t>
        </is>
      </c>
      <c r="E1" s="5" t="inlineStr">
        <is>
          <t>Why surfaced</t>
        </is>
      </c>
      <c r="F1" s="5" t="inlineStr">
        <is>
          <t>Check IDs</t>
        </is>
      </c>
      <c r="G1" s="5" t="inlineStr">
        <is>
          <t>Entry Date</t>
        </is>
      </c>
      <c r="H1" s="5" t="inlineStr">
        <is>
          <t>Period</t>
        </is>
      </c>
      <c r="I1" s="5" t="inlineStr">
        <is>
          <t>Lines</t>
        </is>
      </c>
      <c r="J1" s="5" t="inlineStr">
        <is>
          <t>Total Debit</t>
        </is>
      </c>
      <c r="K1" s="5" t="inlineStr">
        <is>
          <t>Total Credit</t>
        </is>
      </c>
      <c r="L1" s="5" t="inlineStr">
        <is>
          <t>Net</t>
        </is>
      </c>
      <c r="M1" s="5" t="inlineStr">
        <is>
          <t>Preparer</t>
        </is>
      </c>
      <c r="N1" s="5" t="inlineStr">
        <is>
          <t>Approver</t>
        </is>
      </c>
      <c r="O1" s="5" t="inlineStr">
        <is>
          <t>Source</t>
        </is>
      </c>
      <c r="P1" s="5" t="inlineStr">
        <is>
          <t>Description</t>
        </is>
      </c>
      <c r="Q1" s="5" t="inlineStr">
        <is>
          <t>Flag Type</t>
        </is>
      </c>
      <c r="R1" s="5" t="inlineStr">
        <is>
          <t>Disposition</t>
        </is>
      </c>
      <c r="S1" s="5" t="inlineStr">
        <is>
          <t>Support Status</t>
        </is>
      </c>
      <c r="T1" s="5" t="inlineStr">
        <is>
          <t>Amount?</t>
        </is>
      </c>
      <c r="U1" s="5" t="inlineStr">
        <is>
          <t>Date?</t>
        </is>
      </c>
      <c r="V1" s="5" t="inlineStr">
        <is>
          <t>Account?</t>
        </is>
      </c>
      <c r="W1" s="5" t="inlineStr">
        <is>
          <t>Description?</t>
        </is>
      </c>
      <c r="X1" s="5" t="inlineStr">
        <is>
          <t>Support</t>
        </is>
      </c>
      <c r="Y1" s="5" t="inlineStr">
        <is>
          <t>Correction</t>
        </is>
      </c>
      <c r="Z1" s="5" t="inlineStr">
        <is>
          <t>Reviewer</t>
        </is>
      </c>
      <c r="AA1" s="5" t="inlineStr">
        <is>
          <t>Review Date</t>
        </is>
      </c>
      <c r="AB1" s="5" t="inlineStr">
        <is>
          <t>Conclusion</t>
        </is>
      </c>
    </row>
    <row r="2">
      <c r="A2" s="12" t="inlineStr">
        <is>
          <t>ERR-0001</t>
        </is>
      </c>
      <c r="B2" s="13" t="n">
        <v>7</v>
      </c>
      <c r="C2" s="14" t="inlineStr">
        <is>
          <t>High</t>
        </is>
      </c>
      <c r="D2" s="13" t="n">
        <v>3</v>
      </c>
      <c r="E2" s="15" t="inlineStr">
        <is>
          <t>[ROUND_AMOUNT] Round amount $1,000 ; [UNBALANCED_ENTRY] Out of balance by $1,500.00 ; [SINGLE_SIDED_ENTRY] All lines are debits; no offsetting side</t>
        </is>
      </c>
      <c r="F2" s="13" t="inlineStr">
        <is>
          <t>ROUND_AMOUNT, UNBALANCED_ENTRY, SINGLE_SIDED_ENTRY</t>
        </is>
      </c>
      <c r="G2" s="13" t="inlineStr">
        <is>
          <t>2024-11-04</t>
        </is>
      </c>
      <c r="H2" s="13" t="inlineStr">
        <is>
          <t>2024-11</t>
        </is>
      </c>
      <c r="I2" s="13" t="n">
        <v>2</v>
      </c>
      <c r="J2" s="16" t="n">
        <v>1500</v>
      </c>
      <c r="K2" s="16" t="n">
        <v>0</v>
      </c>
      <c r="L2" s="16" t="n">
        <v>1500</v>
      </c>
      <c r="M2" s="13" t="inlineStr">
        <is>
          <t>ksmith</t>
        </is>
      </c>
      <c r="N2" s="13" t="inlineStr">
        <is>
          <t>mgr_ortiz</t>
        </is>
      </c>
      <c r="O2" s="13" t="inlineStr">
        <is>
          <t>System</t>
        </is>
      </c>
      <c r="P2" s="15" t="inlineStr">
        <is>
          <t>Two debits no credit</t>
        </is>
      </c>
      <c r="Q2" s="14" t="inlineStr">
        <is>
          <t>Both</t>
        </is>
      </c>
      <c r="R2" s="13" t="inlineStr">
        <is>
          <t>Open</t>
        </is>
      </c>
      <c r="S2" s="13" t="inlineStr"/>
      <c r="T2" s="13" t="inlineStr"/>
      <c r="U2" s="13" t="inlineStr"/>
      <c r="V2" s="13" t="inlineStr"/>
      <c r="W2" s="13" t="inlineStr"/>
      <c r="X2" s="15" t="inlineStr"/>
      <c r="Y2" s="15" t="inlineStr"/>
      <c r="Z2" s="13" t="inlineStr"/>
      <c r="AA2" s="13" t="inlineStr"/>
      <c r="AB2" s="15" t="inlineStr"/>
    </row>
    <row r="3">
      <c r="A3" s="12" t="inlineStr">
        <is>
          <t>ERR-0002</t>
        </is>
      </c>
      <c r="B3" s="13" t="n">
        <v>6</v>
      </c>
      <c r="C3" s="14" t="inlineStr">
        <is>
          <t>High</t>
        </is>
      </c>
      <c r="D3" s="13" t="n">
        <v>2</v>
      </c>
      <c r="E3" s="15" t="inlineStr">
        <is>
          <t>[UNBALANCED_ENTRY] Out of balance by $-800.00 ; [DEBIT_AND_CREDIT_SAME_LINE] A line has both a debit and a credit amount</t>
        </is>
      </c>
      <c r="F3" s="13" t="inlineStr">
        <is>
          <t>UNBALANCED_ENTRY, DEBIT_AND_CREDIT_SAME_LINE</t>
        </is>
      </c>
      <c r="G3" s="13" t="inlineStr">
        <is>
          <t>2024-11-05</t>
        </is>
      </c>
      <c r="H3" s="13" t="inlineStr">
        <is>
          <t>2024-11</t>
        </is>
      </c>
      <c r="I3" s="13" t="n">
        <v>2</v>
      </c>
      <c r="J3" s="16" t="n">
        <v>800</v>
      </c>
      <c r="K3" s="16" t="n">
        <v>1600</v>
      </c>
      <c r="L3" s="16" t="n">
        <v>-800</v>
      </c>
      <c r="M3" s="13" t="inlineStr">
        <is>
          <t>rlee</t>
        </is>
      </c>
      <c r="N3" s="13" t="inlineStr">
        <is>
          <t>mgr_ortiz</t>
        </is>
      </c>
      <c r="O3" s="13" t="inlineStr">
        <is>
          <t>System</t>
        </is>
      </c>
      <c r="P3" s="15" t="inlineStr">
        <is>
          <t>Both DR and CR on a line</t>
        </is>
      </c>
      <c r="Q3" s="14" t="inlineStr">
        <is>
          <t>Accuracy</t>
        </is>
      </c>
      <c r="R3" s="13" t="inlineStr">
        <is>
          <t>Open</t>
        </is>
      </c>
      <c r="S3" s="13" t="inlineStr"/>
      <c r="T3" s="13" t="inlineStr"/>
      <c r="U3" s="13" t="inlineStr"/>
      <c r="V3" s="13" t="inlineStr"/>
      <c r="W3" s="13" t="inlineStr"/>
      <c r="X3" s="15" t="inlineStr"/>
      <c r="Y3" s="15" t="inlineStr"/>
      <c r="Z3" s="13" t="inlineStr"/>
      <c r="AA3" s="13" t="inlineStr"/>
      <c r="AB3" s="15" t="inlineStr"/>
    </row>
    <row r="4">
      <c r="A4" s="12" t="inlineStr">
        <is>
          <t>ERR-0003</t>
        </is>
      </c>
      <c r="B4" s="13" t="n">
        <v>3</v>
      </c>
      <c r="C4" s="14" t="inlineStr">
        <is>
          <t>Medium</t>
        </is>
      </c>
      <c r="D4" s="13" t="n">
        <v>2</v>
      </c>
      <c r="E4" s="15" t="inlineStr">
        <is>
          <t>[LARGE_OUTLIER] Large amount $1,200 (top 1%) ; [BLANK_LINE_AMOUNT] 1 line(s) with no debit or credit amount</t>
        </is>
      </c>
      <c r="F4" s="13" t="inlineStr">
        <is>
          <t>LARGE_OUTLIER, BLANK_LINE_AMOUNT</t>
        </is>
      </c>
      <c r="G4" s="13" t="inlineStr">
        <is>
          <t>2024-11-06</t>
        </is>
      </c>
      <c r="H4" s="13" t="inlineStr">
        <is>
          <t>2024-11</t>
        </is>
      </c>
      <c r="I4" s="13" t="n">
        <v>3</v>
      </c>
      <c r="J4" s="16" t="n">
        <v>1200</v>
      </c>
      <c r="K4" s="16" t="n">
        <v>1200</v>
      </c>
      <c r="L4" s="16" t="n">
        <v>0</v>
      </c>
      <c r="M4" s="13" t="inlineStr">
        <is>
          <t>ksmith</t>
        </is>
      </c>
      <c r="N4" s="13" t="inlineStr">
        <is>
          <t>mgr_ortiz</t>
        </is>
      </c>
      <c r="O4" s="13" t="inlineStr">
        <is>
          <t>System</t>
        </is>
      </c>
      <c r="P4" s="15" t="inlineStr">
        <is>
          <t>Has a blank line</t>
        </is>
      </c>
      <c r="Q4" s="14" t="inlineStr">
        <is>
          <t>Both</t>
        </is>
      </c>
      <c r="R4" s="13" t="inlineStr">
        <is>
          <t>Open</t>
        </is>
      </c>
      <c r="S4" s="13" t="inlineStr"/>
      <c r="T4" s="13" t="inlineStr"/>
      <c r="U4" s="13" t="inlineStr"/>
      <c r="V4" s="13" t="inlineStr"/>
      <c r="W4" s="13" t="inlineStr"/>
      <c r="X4" s="15" t="inlineStr"/>
      <c r="Y4" s="15" t="inlineStr"/>
      <c r="Z4" s="13" t="inlineStr"/>
      <c r="AA4" s="13" t="inlineStr"/>
      <c r="AB4" s="15" t="inlineStr"/>
    </row>
    <row r="5">
      <c r="A5" s="12" t="inlineStr">
        <is>
          <t>ERR-0005</t>
        </is>
      </c>
      <c r="B5" s="13" t="n">
        <v>3</v>
      </c>
      <c r="C5" s="14" t="inlineStr">
        <is>
          <t>Medium</t>
        </is>
      </c>
      <c r="D5" s="13" t="n">
        <v>1</v>
      </c>
      <c r="E5" s="15" t="inlineStr">
        <is>
          <t>[MISSING_ACCOUNT] 1 line(s) with no account number</t>
        </is>
      </c>
      <c r="F5" s="13" t="inlineStr">
        <is>
          <t>MISSING_ACCOUNT</t>
        </is>
      </c>
      <c r="G5" s="13" t="inlineStr">
        <is>
          <t>2024-11-08</t>
        </is>
      </c>
      <c r="H5" s="13" t="inlineStr">
        <is>
          <t>2024-11</t>
        </is>
      </c>
      <c r="I5" s="13" t="n">
        <v>2</v>
      </c>
      <c r="J5" s="16" t="n">
        <v>700</v>
      </c>
      <c r="K5" s="16" t="n">
        <v>700</v>
      </c>
      <c r="L5" s="16" t="n">
        <v>0</v>
      </c>
      <c r="M5" s="13" t="inlineStr">
        <is>
          <t>ksmith</t>
        </is>
      </c>
      <c r="N5" s="13" t="inlineStr">
        <is>
          <t>mgr_ortiz</t>
        </is>
      </c>
      <c r="O5" s="13" t="inlineStr">
        <is>
          <t>System</t>
        </is>
      </c>
      <c r="P5" s="15" t="inlineStr">
        <is>
          <t>Missing account number</t>
        </is>
      </c>
      <c r="Q5" s="14" t="inlineStr">
        <is>
          <t>Accuracy</t>
        </is>
      </c>
      <c r="R5" s="13" t="inlineStr">
        <is>
          <t>Open</t>
        </is>
      </c>
      <c r="S5" s="13" t="inlineStr"/>
      <c r="T5" s="13" t="inlineStr"/>
      <c r="U5" s="13" t="inlineStr"/>
      <c r="V5" s="13" t="inlineStr"/>
      <c r="W5" s="13" t="inlineStr"/>
      <c r="X5" s="15" t="inlineStr"/>
      <c r="Y5" s="15" t="inlineStr"/>
      <c r="Z5" s="13" t="inlineStr"/>
      <c r="AA5" s="13" t="inlineStr"/>
      <c r="AB5" s="15" t="inlineStr"/>
    </row>
    <row r="6">
      <c r="A6" s="12" t="inlineStr">
        <is>
          <t>ERR-0004</t>
        </is>
      </c>
      <c r="B6" s="13" t="n">
        <v>2</v>
      </c>
      <c r="C6" s="14" t="inlineStr">
        <is>
          <t>Low</t>
        </is>
      </c>
      <c r="D6" s="13" t="n">
        <v>1</v>
      </c>
      <c r="E6" s="15" t="inlineStr">
        <is>
          <t>[NEGATIVE_DR_CR] Negative value in a debit/credit column</t>
        </is>
      </c>
      <c r="F6" s="13" t="inlineStr">
        <is>
          <t>NEGATIVE_DR_CR</t>
        </is>
      </c>
      <c r="G6" s="13" t="inlineStr">
        <is>
          <t>2024-11-07</t>
        </is>
      </c>
      <c r="H6" s="13" t="inlineStr">
        <is>
          <t>2024-11</t>
        </is>
      </c>
      <c r="I6" s="13" t="n">
        <v>2</v>
      </c>
      <c r="J6" s="16" t="n">
        <v>-500</v>
      </c>
      <c r="K6" s="16" t="n">
        <v>-500</v>
      </c>
      <c r="L6" s="16" t="n">
        <v>0</v>
      </c>
      <c r="M6" s="13" t="inlineStr">
        <is>
          <t>rlee</t>
        </is>
      </c>
      <c r="N6" s="13" t="inlineStr">
        <is>
          <t>mgr_ortiz</t>
        </is>
      </c>
      <c r="O6" s="13" t="inlineStr">
        <is>
          <t>System</t>
        </is>
      </c>
      <c r="P6" s="15" t="inlineStr">
        <is>
          <t>Negative posted</t>
        </is>
      </c>
      <c r="Q6" s="14" t="inlineStr">
        <is>
          <t>Accuracy</t>
        </is>
      </c>
      <c r="R6" s="13" t="inlineStr">
        <is>
          <t>Open</t>
        </is>
      </c>
      <c r="S6" s="13" t="inlineStr"/>
      <c r="T6" s="13" t="inlineStr"/>
      <c r="U6" s="13" t="inlineStr"/>
      <c r="V6" s="13" t="inlineStr"/>
      <c r="W6" s="13" t="inlineStr"/>
      <c r="X6" s="15" t="inlineStr"/>
      <c r="Y6" s="15" t="inlineStr"/>
      <c r="Z6" s="13" t="inlineStr"/>
      <c r="AA6" s="13" t="inlineStr"/>
      <c r="AB6" s="15" t="inlineStr"/>
    </row>
    <row r="7">
      <c r="A7" s="12" t="inlineStr">
        <is>
          <t>ERR-0008</t>
        </is>
      </c>
      <c r="B7" s="13" t="n">
        <v>2</v>
      </c>
      <c r="C7" s="14" t="inlineStr">
        <is>
          <t>Low</t>
        </is>
      </c>
      <c r="D7" s="13" t="n">
        <v>1</v>
      </c>
      <c r="E7" s="15" t="inlineStr">
        <is>
          <t>[PERIOD_DATE_MISMATCH] Dated 2024-10-15 but labelled period 2024-11</t>
        </is>
      </c>
      <c r="F7" s="13" t="inlineStr">
        <is>
          <t>PERIOD_DATE_MISMATCH</t>
        </is>
      </c>
      <c r="G7" s="13" t="inlineStr">
        <is>
          <t>2024-11-13</t>
        </is>
      </c>
      <c r="H7" s="13" t="inlineStr">
        <is>
          <t>2024-11</t>
        </is>
      </c>
      <c r="I7" s="13" t="n">
        <v>2</v>
      </c>
      <c r="J7" s="16" t="n">
        <v>300</v>
      </c>
      <c r="K7" s="16" t="n">
        <v>300</v>
      </c>
      <c r="L7" s="16" t="n">
        <v>0</v>
      </c>
      <c r="M7" s="13" t="inlineStr">
        <is>
          <t>rlee</t>
        </is>
      </c>
      <c r="N7" s="13" t="inlineStr">
        <is>
          <t>mgr_ortiz</t>
        </is>
      </c>
      <c r="O7" s="13" t="inlineStr">
        <is>
          <t>System</t>
        </is>
      </c>
      <c r="P7" s="15" t="inlineStr">
        <is>
          <t>Wrong period</t>
        </is>
      </c>
      <c r="Q7" s="14" t="inlineStr">
        <is>
          <t>Accuracy</t>
        </is>
      </c>
      <c r="R7" s="13" t="inlineStr">
        <is>
          <t>Open</t>
        </is>
      </c>
      <c r="S7" s="13" t="inlineStr"/>
      <c r="T7" s="13" t="inlineStr"/>
      <c r="U7" s="13" t="inlineStr"/>
      <c r="V7" s="13" t="inlineStr"/>
      <c r="W7" s="13" t="inlineStr"/>
      <c r="X7" s="15" t="inlineStr"/>
      <c r="Y7" s="15" t="inlineStr"/>
      <c r="Z7" s="13" t="inlineStr"/>
      <c r="AA7" s="13" t="inlineStr"/>
      <c r="AB7" s="15" t="inlineStr"/>
    </row>
    <row r="8">
      <c r="A8" s="12" t="inlineStr">
        <is>
          <t>ERR-0010</t>
        </is>
      </c>
      <c r="B8" s="13" t="n">
        <v>2</v>
      </c>
      <c r="C8" s="14" t="inlineStr">
        <is>
          <t>Low</t>
        </is>
      </c>
      <c r="D8" s="13" t="n">
        <v>1</v>
      </c>
      <c r="E8" s="15" t="inlineStr">
        <is>
          <t>[FUTURE_DATE] Dated in the future (2027-03-01)</t>
        </is>
      </c>
      <c r="F8" s="13" t="inlineStr">
        <is>
          <t>FUTURE_DATE</t>
        </is>
      </c>
      <c r="G8" s="13" t="inlineStr">
        <is>
          <t>2027-03-01</t>
        </is>
      </c>
      <c r="H8" s="13" t="inlineStr">
        <is>
          <t>2027-03</t>
        </is>
      </c>
      <c r="I8" s="13" t="n">
        <v>2</v>
      </c>
      <c r="J8" s="16" t="n">
        <v>400</v>
      </c>
      <c r="K8" s="16" t="n">
        <v>400</v>
      </c>
      <c r="L8" s="16" t="n">
        <v>0</v>
      </c>
      <c r="M8" s="13" t="inlineStr">
        <is>
          <t>rlee</t>
        </is>
      </c>
      <c r="N8" s="13" t="inlineStr">
        <is>
          <t>mgr_ortiz</t>
        </is>
      </c>
      <c r="O8" s="13" t="inlineStr">
        <is>
          <t>System</t>
        </is>
      </c>
      <c r="P8" s="15" t="inlineStr">
        <is>
          <t>Future dated</t>
        </is>
      </c>
      <c r="Q8" s="14" t="inlineStr">
        <is>
          <t>Accuracy</t>
        </is>
      </c>
      <c r="R8" s="13" t="inlineStr">
        <is>
          <t>Open</t>
        </is>
      </c>
      <c r="S8" s="13" t="inlineStr"/>
      <c r="T8" s="13" t="inlineStr"/>
      <c r="U8" s="13" t="inlineStr"/>
      <c r="V8" s="13" t="inlineStr"/>
      <c r="W8" s="13" t="inlineStr"/>
      <c r="X8" s="15" t="inlineStr"/>
      <c r="Y8" s="15" t="inlineStr"/>
      <c r="Z8" s="13" t="inlineStr"/>
      <c r="AA8" s="13" t="inlineStr"/>
      <c r="AB8" s="15" t="inlineStr"/>
    </row>
    <row r="9">
      <c r="A9" s="12" t="inlineStr">
        <is>
          <t>ERR-0006</t>
        </is>
      </c>
      <c r="B9" s="13" t="n">
        <v>1</v>
      </c>
      <c r="C9" s="14" t="inlineStr">
        <is>
          <t>Low</t>
        </is>
      </c>
      <c r="D9" s="13" t="n">
        <v>1</v>
      </c>
      <c r="E9" s="15" t="inlineStr">
        <is>
          <t>[ACCOUNT_NAME_INCONSISTENT] Account 7000 recorded under multiple names: Bank, Cash</t>
        </is>
      </c>
      <c r="F9" s="13" t="inlineStr">
        <is>
          <t>ACCOUNT_NAME_INCONSISTENT</t>
        </is>
      </c>
      <c r="G9" s="13" t="inlineStr">
        <is>
          <t>2024-11-11</t>
        </is>
      </c>
      <c r="H9" s="13" t="inlineStr">
        <is>
          <t>2024-11</t>
        </is>
      </c>
      <c r="I9" s="13" t="n">
        <v>2</v>
      </c>
      <c r="J9" s="16" t="n">
        <v>900</v>
      </c>
      <c r="K9" s="16" t="n">
        <v>900</v>
      </c>
      <c r="L9" s="16" t="n">
        <v>0</v>
      </c>
      <c r="M9" s="13" t="inlineStr">
        <is>
          <t>rlee</t>
        </is>
      </c>
      <c r="N9" s="13" t="inlineStr">
        <is>
          <t>mgr_ortiz</t>
        </is>
      </c>
      <c r="O9" s="13" t="inlineStr">
        <is>
          <t>System</t>
        </is>
      </c>
      <c r="P9" s="15" t="inlineStr">
        <is>
          <t>Account named Bank</t>
        </is>
      </c>
      <c r="Q9" s="14" t="inlineStr">
        <is>
          <t>Accuracy</t>
        </is>
      </c>
      <c r="R9" s="13" t="inlineStr">
        <is>
          <t>Open</t>
        </is>
      </c>
      <c r="S9" s="13" t="inlineStr"/>
      <c r="T9" s="13" t="inlineStr"/>
      <c r="U9" s="13" t="inlineStr"/>
      <c r="V9" s="13" t="inlineStr"/>
      <c r="W9" s="13" t="inlineStr"/>
      <c r="X9" s="15" t="inlineStr"/>
      <c r="Y9" s="15" t="inlineStr"/>
      <c r="Z9" s="13" t="inlineStr"/>
      <c r="AA9" s="13" t="inlineStr"/>
      <c r="AB9" s="15" t="inlineStr"/>
    </row>
    <row r="10">
      <c r="A10" s="12" t="inlineStr">
        <is>
          <t>ERR-0007</t>
        </is>
      </c>
      <c r="B10" s="13" t="n">
        <v>1</v>
      </c>
      <c r="C10" s="14" t="inlineStr">
        <is>
          <t>Low</t>
        </is>
      </c>
      <c r="D10" s="13" t="n">
        <v>1</v>
      </c>
      <c r="E10" s="15" t="inlineStr">
        <is>
          <t>[ACCOUNT_NAME_INCONSISTENT] Account 7000 recorded under multiple names: Bank, Cash</t>
        </is>
      </c>
      <c r="F10" s="13" t="inlineStr">
        <is>
          <t>ACCOUNT_NAME_INCONSISTENT</t>
        </is>
      </c>
      <c r="G10" s="13" t="inlineStr">
        <is>
          <t>2024-11-12</t>
        </is>
      </c>
      <c r="H10" s="13" t="inlineStr">
        <is>
          <t>2024-11</t>
        </is>
      </c>
      <c r="I10" s="13" t="n">
        <v>2</v>
      </c>
      <c r="J10" s="16" t="n">
        <v>950</v>
      </c>
      <c r="K10" s="16" t="n">
        <v>950</v>
      </c>
      <c r="L10" s="16" t="n">
        <v>0</v>
      </c>
      <c r="M10" s="13" t="inlineStr">
        <is>
          <t>ksmith</t>
        </is>
      </c>
      <c r="N10" s="13" t="inlineStr">
        <is>
          <t>mgr_ortiz</t>
        </is>
      </c>
      <c r="O10" s="13" t="inlineStr">
        <is>
          <t>System</t>
        </is>
      </c>
      <c r="P10" s="15" t="inlineStr">
        <is>
          <t>Same account named Cash</t>
        </is>
      </c>
      <c r="Q10" s="14" t="inlineStr">
        <is>
          <t>Accuracy</t>
        </is>
      </c>
      <c r="R10" s="13" t="inlineStr">
        <is>
          <t>Open</t>
        </is>
      </c>
      <c r="S10" s="13" t="inlineStr"/>
      <c r="T10" s="13" t="inlineStr"/>
      <c r="U10" s="13" t="inlineStr"/>
      <c r="V10" s="13" t="inlineStr"/>
      <c r="W10" s="13" t="inlineStr"/>
      <c r="X10" s="15" t="inlineStr"/>
      <c r="Y10" s="15" t="inlineStr"/>
      <c r="Z10" s="13" t="inlineStr"/>
      <c r="AA10" s="13" t="inlineStr"/>
      <c r="AB10" s="15" t="inlineStr"/>
    </row>
    <row r="11">
      <c r="A11" s="12" t="inlineStr">
        <is>
          <t>ERR-0009</t>
        </is>
      </c>
      <c r="B11" s="13" t="n">
        <v>1</v>
      </c>
      <c r="C11" s="14" t="inlineStr">
        <is>
          <t>Low</t>
        </is>
      </c>
      <c r="D11" s="13" t="n">
        <v>1</v>
      </c>
      <c r="E11" s="15" t="inlineStr">
        <is>
          <t>[EXCESS_PRECISION] Amount with sub-cent precision (e.g. 100.12345)</t>
        </is>
      </c>
      <c r="F11" s="13" t="inlineStr">
        <is>
          <t>EXCESS_PRECISION</t>
        </is>
      </c>
      <c r="G11" s="13" t="inlineStr">
        <is>
          <t>2024-11-14</t>
        </is>
      </c>
      <c r="H11" s="13" t="inlineStr">
        <is>
          <t>2024-11</t>
        </is>
      </c>
      <c r="I11" s="13" t="n">
        <v>2</v>
      </c>
      <c r="J11" s="16" t="n">
        <v>100.12</v>
      </c>
      <c r="K11" s="16" t="n">
        <v>100.12</v>
      </c>
      <c r="L11" s="16" t="n">
        <v>0</v>
      </c>
      <c r="M11" s="13" t="inlineStr">
        <is>
          <t>ksmith</t>
        </is>
      </c>
      <c r="N11" s="13" t="inlineStr">
        <is>
          <t>mgr_ortiz</t>
        </is>
      </c>
      <c r="O11" s="13" t="inlineStr">
        <is>
          <t>System</t>
        </is>
      </c>
      <c r="P11" s="15" t="inlineStr">
        <is>
          <t>Sub-cent amount</t>
        </is>
      </c>
      <c r="Q11" s="14" t="inlineStr">
        <is>
          <t>Accuracy</t>
        </is>
      </c>
      <c r="R11" s="13" t="inlineStr">
        <is>
          <t>Open</t>
        </is>
      </c>
      <c r="S11" s="13" t="inlineStr"/>
      <c r="T11" s="13" t="inlineStr"/>
      <c r="U11" s="13" t="inlineStr"/>
      <c r="V11" s="13" t="inlineStr"/>
      <c r="W11" s="13" t="inlineStr"/>
      <c r="X11" s="15" t="inlineStr"/>
      <c r="Y11" s="15" t="inlineStr"/>
      <c r="Z11" s="13" t="inlineStr"/>
      <c r="AA11" s="13" t="inlineStr"/>
      <c r="AB11" s="15" t="inlineStr"/>
    </row>
  </sheetData>
  <autoFilter ref="A1:AB11"/>
  <conditionalFormatting sqref="B2:B11">
    <cfRule type="colorScale" priority="1">
      <colorScale>
        <cfvo type="min"/>
        <cfvo type="max"/>
        <color rgb="00FFFFFF"/>
        <color rgb="00C00000"/>
      </colorScale>
    </cfRule>
  </conditionalFormatting>
  <conditionalFormatting sqref="C2:C11">
    <cfRule type="cellIs" priority="2" operator="equal" dxfId="0">
      <formula>"High"</formula>
    </cfRule>
    <cfRule type="cellIs" priority="3" operator="equal" dxfId="1">
      <formula>"Medium"</formula>
    </cfRule>
    <cfRule type="cellIs" priority="4" operator="equal" dxfId="2">
      <formula>"Low"</formula>
    </cfRule>
  </conditionalFormatting>
  <conditionalFormatting sqref="Q2:Q11">
    <cfRule type="cellIs" priority="5" operator="equal" dxfId="3">
      <formula>"Accuracy"</formula>
    </cfRule>
    <cfRule type="cellIs" priority="6" operator="equal" dxfId="4">
      <formula>"Risk"</formula>
    </cfRule>
    <cfRule type="cellIs" priority="7" operator="equal" dxfId="5">
      <formula>"Both"</formula>
    </cfRule>
  </conditionalFormatting>
  <conditionalFormatting sqref="R2:R11">
    <cfRule type="cellIs" priority="8" operator="equal" dxfId="4">
      <formula>"Open"</formula>
    </cfRule>
    <cfRule type="cellIs" priority="9" operator="equal" dxfId="6">
      <formula>"Recorded correctly"</formula>
    </cfRule>
    <cfRule type="cellIs" priority="10" operator="equal" dxfId="6">
      <formula>"Expected business activity"</formula>
    </cfRule>
    <cfRule type="cellIs" priority="11" operator="equal" dxfId="7">
      <formula>"Needs support / explanation"</formula>
    </cfRule>
    <cfRule type="cellIs" priority="12" operator="equal" dxfId="5">
      <formula>"Needs correction"</formula>
    </cfRule>
    <cfRule type="cellIs" priority="13" operator="equal" dxfId="8">
      <formula>"False positive"</formula>
    </cfRule>
    <cfRule type="cellIs" priority="14" operator="equal" dxfId="9">
      <formula>"Escalate"</formula>
    </cfRule>
  </conditionalFormatting>
  <conditionalFormatting sqref="T2:T11">
    <cfRule type="cellIs" priority="15" operator="equal" dxfId="6">
      <formula>"Agrees"</formula>
    </cfRule>
    <cfRule type="cellIs" priority="16" operator="equal" dxfId="9">
      <formula>"Discrepancy"</formula>
    </cfRule>
    <cfRule type="cellIs" priority="17" operator="equal" dxfId="7">
      <formula>"Not in support"</formula>
    </cfRule>
  </conditionalFormatting>
  <conditionalFormatting sqref="U2:U11">
    <cfRule type="cellIs" priority="18" operator="equal" dxfId="6">
      <formula>"Agrees"</formula>
    </cfRule>
    <cfRule type="cellIs" priority="19" operator="equal" dxfId="9">
      <formula>"Discrepancy"</formula>
    </cfRule>
    <cfRule type="cellIs" priority="20" operator="equal" dxfId="7">
      <formula>"Not in support"</formula>
    </cfRule>
  </conditionalFormatting>
  <conditionalFormatting sqref="V2:V11">
    <cfRule type="cellIs" priority="21" operator="equal" dxfId="6">
      <formula>"Agrees"</formula>
    </cfRule>
    <cfRule type="cellIs" priority="22" operator="equal" dxfId="9">
      <formula>"Discrepancy"</formula>
    </cfRule>
    <cfRule type="cellIs" priority="23" operator="equal" dxfId="7">
      <formula>"Not in support"</formula>
    </cfRule>
  </conditionalFormatting>
  <conditionalFormatting sqref="W2:W11">
    <cfRule type="cellIs" priority="24" operator="equal" dxfId="6">
      <formula>"Agrees"</formula>
    </cfRule>
    <cfRule type="cellIs" priority="25" operator="equal" dxfId="9">
      <formula>"Discrepancy"</formula>
    </cfRule>
    <cfRule type="cellIs" priority="26" operator="equal" dxfId="7">
      <formula>"Not in support"</formula>
    </cfRule>
  </conditionalFormatting>
  <dataValidations count="6">
    <dataValidation sqref="R2:R11" showDropDown="0" showInputMessage="0" showErrorMessage="0" allowBlank="1" errorTitle="Disposition" error="Pick one of: Open, Recorded correctly, Expected business activity, Needs support / explanation, Needs correction, False positive, Escalate" promptTitle="Disposition" prompt="Disposition" type="list" errorStyle="warning">
      <formula1>"Open,Recorded correctly,Expected business activity,Needs support / explanation,Needs correction,False positive,Escalate"</formula1>
    </dataValidation>
    <dataValidation sqref="S2:S11" showDropDown="0" showInputMessage="0" showErrorMessage="0" allowBlank="1" errorTitle="Support status" error="Pick one of: Not requested, Requested, Received, Under review, Reviewed - supports, Reviewed - partial/discrepancy, Reviewed - not supported, No support required" promptTitle="Support status" prompt="Support status" type="list" errorStyle="warning">
      <formula1>"Not requested,Requested,Received,Under review,Reviewed - supports,Reviewed - partial/discrepancy,Reviewed - not supported,No support required"</formula1>
    </dataValidation>
    <dataValidation sqref="T2:T11" showDropDown="0" showInputMessage="0" showErrorMessage="0" allowBlank="1" errorTitle="Support agrees?" error="Pick one of: Not tested, Agrees, Discrepancy, Not in support" promptTitle="Support agrees?" prompt="Support agrees?" type="list" errorStyle="warning">
      <formula1>"Not tested,Agrees,Discrepancy,Not in support"</formula1>
    </dataValidation>
    <dataValidation sqref="U2:U11" showDropDown="0" showInputMessage="0" showErrorMessage="0" allowBlank="1" errorTitle="Support agrees?" error="Pick one of: Not tested, Agrees, Discrepancy, Not in support" promptTitle="Support agrees?" prompt="Support agrees?" type="list" errorStyle="warning">
      <formula1>"Not tested,Agrees,Discrepancy,Not in support"</formula1>
    </dataValidation>
    <dataValidation sqref="V2:V11" showDropDown="0" showInputMessage="0" showErrorMessage="0" allowBlank="1" errorTitle="Support agrees?" error="Pick one of: Not tested, Agrees, Discrepancy, Not in support" promptTitle="Support agrees?" prompt="Support agrees?" type="list" errorStyle="warning">
      <formula1>"Not tested,Agrees,Discrepancy,Not in support"</formula1>
    </dataValidation>
    <dataValidation sqref="W2:W11" showDropDown="0" showInputMessage="0" showErrorMessage="0" allowBlank="1" errorTitle="Support agrees?" error="Pick one of: Not tested, Agrees, Discrepancy, Not in support" promptTitle="Support agrees?" prompt="Support agrees?" type="list" errorStyle="warning">
      <formula1>"Not tested,Agrees,Discrepancy,Not in support"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22" customWidth="1" min="4" max="4"/>
    <col width="14" customWidth="1" min="5" max="5"/>
    <col width="50" customWidth="1" min="6" max="6"/>
  </cols>
  <sheetData>
    <row r="1">
      <c r="A1" s="5" t="inlineStr">
        <is>
          <t>JE ID</t>
        </is>
      </c>
      <c r="B1" s="5" t="inlineStr">
        <is>
          <t>Support</t>
        </is>
      </c>
      <c r="C1" s="5" t="inlineStr">
        <is>
          <t>Type</t>
        </is>
      </c>
      <c r="D1" s="5" t="inlineStr">
        <is>
          <t>Covers</t>
        </is>
      </c>
      <c r="E1" s="5" t="inlineStr">
        <is>
          <t>Agrees?</t>
        </is>
      </c>
      <c r="F1" s="5" t="inlineStr">
        <is>
          <t>Note</t>
        </is>
      </c>
    </row>
    <row r="2">
      <c r="A2" s="13" t="inlineStr">
        <is>
          <t>—</t>
        </is>
      </c>
      <c r="B2" s="17" t="inlineStr">
        <is>
          <t>No support items recorded yet.</t>
        </is>
      </c>
      <c r="C2" s="13" t="inlineStr"/>
      <c r="D2" s="13" t="inlineStr"/>
      <c r="E2" s="13" t="inlineStr"/>
      <c r="F2" s="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8" customWidth="1" min="4" max="4"/>
    <col width="22" customWidth="1" min="5" max="5"/>
    <col width="7" customWidth="1" min="6" max="6"/>
    <col width="60" customWidth="1" min="7" max="7"/>
  </cols>
  <sheetData>
    <row r="1">
      <c r="A1" s="5" t="inlineStr">
        <is>
          <t>Check ID</t>
        </is>
      </c>
      <c r="B1" s="5" t="inlineStr">
        <is>
          <t>Check</t>
        </is>
      </c>
      <c r="C1" s="5" t="inlineStr">
        <is>
          <t>Category</t>
        </is>
      </c>
      <c r="D1" s="5" t="inlineStr">
        <is>
          <t>Weight</t>
        </is>
      </c>
      <c r="E1" s="5" t="inlineStr">
        <is>
          <t>Fields needed</t>
        </is>
      </c>
      <c r="F1" s="5" t="inlineStr">
        <is>
          <t>Ran?</t>
        </is>
      </c>
      <c r="G1" s="5" t="inlineStr">
        <is>
          <t>Description</t>
        </is>
      </c>
    </row>
    <row r="2">
      <c r="A2" s="13" t="inlineStr">
        <is>
          <t>WEEKEND_POSTING</t>
        </is>
      </c>
      <c r="B2" s="13" t="inlineStr">
        <is>
          <t>Posted on a weekend</t>
        </is>
      </c>
      <c r="C2" s="13" t="inlineStr">
        <is>
          <t>Risk</t>
        </is>
      </c>
      <c r="D2" s="13" t="n">
        <v>2</v>
      </c>
      <c r="E2" s="13" t="inlineStr">
        <is>
          <t>entry_date</t>
        </is>
      </c>
      <c r="F2" s="13" t="inlineStr">
        <is>
          <t>Yes</t>
        </is>
      </c>
      <c r="G2" s="15" t="inlineStr">
        <is>
          <t>Entry recorded on a Saturday or Sunday — outside normal close cadence.</t>
        </is>
      </c>
    </row>
    <row r="3">
      <c r="A3" s="13" t="inlineStr">
        <is>
          <t>AFTER_PERIOD_END</t>
        </is>
      </c>
      <c r="B3" s="13" t="inlineStr">
        <is>
          <t>Posted after the period it affects</t>
        </is>
      </c>
      <c r="C3" s="13" t="inlineStr">
        <is>
          <t>Risk</t>
        </is>
      </c>
      <c r="D3" s="13" t="n">
        <v>3</v>
      </c>
      <c r="E3" s="13" t="inlineStr">
        <is>
          <t>entry_date,period</t>
        </is>
      </c>
      <c r="F3" s="13" t="inlineStr">
        <is>
          <t>Yes</t>
        </is>
      </c>
      <c r="G3" s="15" t="inlineStr">
        <is>
          <t>Entry recorded after the close of the accounting period (possible back-dating).</t>
        </is>
      </c>
    </row>
    <row r="4">
      <c r="A4" s="13" t="inlineStr">
        <is>
          <t>PERIOD_END_CONCENTRATION</t>
        </is>
      </c>
      <c r="B4" s="13" t="inlineStr">
        <is>
          <t>Posted in the last days of the period</t>
        </is>
      </c>
      <c r="C4" s="13" t="inlineStr">
        <is>
          <t>Risk</t>
        </is>
      </c>
      <c r="D4" s="13" t="n">
        <v>1</v>
      </c>
      <c r="E4" s="13" t="inlineStr">
        <is>
          <t>entry_date</t>
        </is>
      </c>
      <c r="F4" s="13" t="inlineStr">
        <is>
          <t>Yes</t>
        </is>
      </c>
      <c r="G4" s="15" t="inlineStr">
        <is>
          <t>Entry recorded in the final days of the month — period-end pressure window.</t>
        </is>
      </c>
    </row>
    <row r="5">
      <c r="A5" s="18" t="inlineStr">
        <is>
          <t>OFFHOURS_POSTING</t>
        </is>
      </c>
      <c r="B5" s="18" t="inlineStr">
        <is>
          <t>Posted outside business hours</t>
        </is>
      </c>
      <c r="C5" s="18" t="inlineStr">
        <is>
          <t>Risk</t>
        </is>
      </c>
      <c r="D5" s="18" t="n">
        <v>1</v>
      </c>
      <c r="E5" s="18" t="inlineStr">
        <is>
          <t>posted_at</t>
        </is>
      </c>
      <c r="F5" s="18" t="inlineStr">
        <is>
          <t>No</t>
        </is>
      </c>
      <c r="G5" s="19" t="inlineStr">
        <is>
          <t>Entry timestamp is late night/early morning — unusual posting time.</t>
        </is>
      </c>
    </row>
    <row r="6">
      <c r="A6" s="13" t="inlineStr">
        <is>
          <t>ROUND_AMOUNT</t>
        </is>
      </c>
      <c r="B6" s="13" t="inlineStr">
        <is>
          <t>Round-dollar amount</t>
        </is>
      </c>
      <c r="C6" s="13" t="inlineStr">
        <is>
          <t>Risk</t>
        </is>
      </c>
      <c r="D6" s="13" t="n">
        <v>1</v>
      </c>
      <c r="E6" s="13" t="inlineStr">
        <is>
          <t>amount</t>
        </is>
      </c>
      <c r="F6" s="13" t="inlineStr">
        <is>
          <t>Yes</t>
        </is>
      </c>
      <c r="G6" s="15" t="inlineStr">
        <is>
          <t>A line amount is an exact multiple of 1,000 — often estimates or plugs.</t>
        </is>
      </c>
    </row>
    <row r="7">
      <c r="A7" s="13" t="inlineStr">
        <is>
          <t>BELOW_THRESHOLD</t>
        </is>
      </c>
      <c r="B7" s="13" t="inlineStr">
        <is>
          <t>Just below an approval threshold</t>
        </is>
      </c>
      <c r="C7" s="13" t="inlineStr">
        <is>
          <t>Risk</t>
        </is>
      </c>
      <c r="D7" s="13" t="n">
        <v>2</v>
      </c>
      <c r="E7" s="13" t="inlineStr">
        <is>
          <t>amount</t>
        </is>
      </c>
      <c r="F7" s="13" t="inlineStr">
        <is>
          <t>Yes</t>
        </is>
      </c>
      <c r="G7" s="15" t="inlineStr">
        <is>
          <t>A line amount sits just under a known approval limit — possible threshold gaming.</t>
        </is>
      </c>
    </row>
    <row r="8">
      <c r="A8" s="13" t="inlineStr">
        <is>
          <t>LARGE_OUTLIER</t>
        </is>
      </c>
      <c r="B8" s="13" t="inlineStr">
        <is>
          <t>Unusually large amount</t>
        </is>
      </c>
      <c r="C8" s="13" t="inlineStr">
        <is>
          <t>Risk</t>
        </is>
      </c>
      <c r="D8" s="13" t="n">
        <v>1</v>
      </c>
      <c r="E8" s="13" t="inlineStr">
        <is>
          <t>amount</t>
        </is>
      </c>
      <c r="F8" s="13" t="inlineStr">
        <is>
          <t>Yes</t>
        </is>
      </c>
      <c r="G8" s="15" t="inlineStr">
        <is>
          <t>A line amount is in the top percentile of the population.</t>
        </is>
      </c>
    </row>
    <row r="9">
      <c r="A9" s="13" t="inlineStr">
        <is>
          <t>SELDOM_ACCOUNT</t>
        </is>
      </c>
      <c r="B9" s="13" t="inlineStr">
        <is>
          <t>Seldom-used account</t>
        </is>
      </c>
      <c r="C9" s="13" t="inlineStr">
        <is>
          <t>Risk</t>
        </is>
      </c>
      <c r="D9" s="13" t="n">
        <v>2</v>
      </c>
      <c r="E9" s="13" t="inlineStr">
        <is>
          <t>account</t>
        </is>
      </c>
      <c r="F9" s="13" t="inlineStr">
        <is>
          <t>Yes</t>
        </is>
      </c>
      <c r="G9" s="15" t="inlineStr">
        <is>
          <t>An account touched by only one entry in the period — rarely-used accounts carry higher risk.</t>
        </is>
      </c>
    </row>
    <row r="10">
      <c r="A10" s="13" t="inlineStr">
        <is>
          <t>SENSITIVE_ACCOUNT</t>
        </is>
      </c>
      <c r="B10" s="13" t="inlineStr">
        <is>
          <t>Sensitive account</t>
        </is>
      </c>
      <c r="C10" s="13" t="inlineStr">
        <is>
          <t>Risk</t>
        </is>
      </c>
      <c r="D10" s="13" t="n">
        <v>1</v>
      </c>
      <c r="E10" s="13" t="inlineStr">
        <is>
          <t>account_name</t>
        </is>
      </c>
      <c r="F10" s="13" t="inlineStr">
        <is>
          <t>Yes</t>
        </is>
      </c>
      <c r="G10" s="15" t="inlineStr">
        <is>
          <t>A line hits a higher-risk account class (suspense, reserve, equity, revenue, IC, etc.).</t>
        </is>
      </c>
    </row>
    <row r="11">
      <c r="A11" s="13" t="inlineStr">
        <is>
          <t>MANUAL_SOURCE</t>
        </is>
      </c>
      <c r="B11" s="13" t="inlineStr">
        <is>
          <t>Manual entry</t>
        </is>
      </c>
      <c r="C11" s="13" t="inlineStr">
        <is>
          <t>Risk</t>
        </is>
      </c>
      <c r="D11" s="13" t="n">
        <v>1</v>
      </c>
      <c r="E11" s="13" t="inlineStr">
        <is>
          <t>source</t>
        </is>
      </c>
      <c r="F11" s="13" t="inlineStr">
        <is>
          <t>Yes</t>
        </is>
      </c>
      <c r="G11" s="15" t="inlineStr">
        <is>
          <t>Entry was posted manually rather than system-generated.</t>
        </is>
      </c>
    </row>
    <row r="12">
      <c r="A12" s="13" t="inlineStr">
        <is>
          <t>SOD_CONFLICT</t>
        </is>
      </c>
      <c r="B12" s="13" t="inlineStr">
        <is>
          <t>Preparer is also approver</t>
        </is>
      </c>
      <c r="C12" s="13" t="inlineStr">
        <is>
          <t>Risk</t>
        </is>
      </c>
      <c r="D12" s="13" t="n">
        <v>3</v>
      </c>
      <c r="E12" s="13" t="inlineStr">
        <is>
          <t>entered_by,approved_by</t>
        </is>
      </c>
      <c r="F12" s="13" t="inlineStr">
        <is>
          <t>Yes</t>
        </is>
      </c>
      <c r="G12" s="15" t="inlineStr">
        <is>
          <t>Same user prepared and approved the entry — segregation-of-duties conflict.</t>
        </is>
      </c>
    </row>
    <row r="13">
      <c r="A13" s="13" t="inlineStr">
        <is>
          <t>BLANK_DESCRIPTION</t>
        </is>
      </c>
      <c r="B13" s="13" t="inlineStr">
        <is>
          <t>Missing description</t>
        </is>
      </c>
      <c r="C13" s="13" t="inlineStr">
        <is>
          <t>Risk</t>
        </is>
      </c>
      <c r="D13" s="13" t="n">
        <v>2</v>
      </c>
      <c r="E13" s="13" t="inlineStr">
        <is>
          <t>description</t>
        </is>
      </c>
      <c r="F13" s="13" t="inlineStr">
        <is>
          <t>Yes</t>
        </is>
      </c>
      <c r="G13" s="15" t="inlineStr">
        <is>
          <t>Entry has no narrative — undocumented entries are harder to substantiate.</t>
        </is>
      </c>
    </row>
    <row r="14">
      <c r="A14" s="13" t="inlineStr">
        <is>
          <t>SUSPICIOUS_KEYWORD</t>
        </is>
      </c>
      <c r="B14" s="13" t="inlineStr">
        <is>
          <t>Suspicious description keyword</t>
        </is>
      </c>
      <c r="C14" s="13" t="inlineStr">
        <is>
          <t>Risk</t>
        </is>
      </c>
      <c r="D14" s="13" t="n">
        <v>2</v>
      </c>
      <c r="E14" s="13" t="inlineStr">
        <is>
          <t>description</t>
        </is>
      </c>
      <c r="F14" s="13" t="inlineStr">
        <is>
          <t>Yes</t>
        </is>
      </c>
      <c r="G14" s="15" t="inlineStr">
        <is>
          <t>Description contains a flag word (plug, to balance, reclass, misc, correction, etc.).</t>
        </is>
      </c>
    </row>
    <row r="15">
      <c r="A15" s="13" t="inlineStr">
        <is>
          <t>UNBALANCED_ENTRY</t>
        </is>
      </c>
      <c r="B15" s="13" t="inlineStr">
        <is>
          <t>Entry does not balance</t>
        </is>
      </c>
      <c r="C15" s="13" t="inlineStr">
        <is>
          <t>Accuracy</t>
        </is>
      </c>
      <c r="D15" s="13" t="n">
        <v>3</v>
      </c>
      <c r="E15" s="13" t="inlineStr">
        <is>
          <t>amount</t>
        </is>
      </c>
      <c r="F15" s="13" t="inlineStr">
        <is>
          <t>Yes</t>
        </is>
      </c>
      <c r="G15" s="15" t="inlineStr">
        <is>
          <t>Signed line amounts for the entry do not net to zero — debits ≠ credits.</t>
        </is>
      </c>
    </row>
    <row r="16">
      <c r="A16" s="13" t="inlineStr">
        <is>
          <t>DUPLICATE_ENTRY</t>
        </is>
      </c>
      <c r="B16" s="13" t="inlineStr">
        <is>
          <t>Possible duplicate entry</t>
        </is>
      </c>
      <c r="C16" s="13" t="inlineStr">
        <is>
          <t>Risk</t>
        </is>
      </c>
      <c r="D16" s="13" t="n">
        <v>3</v>
      </c>
      <c r="E16" s="13" t="inlineStr">
        <is>
          <t>account,amount</t>
        </is>
      </c>
      <c r="F16" s="13" t="inlineStr">
        <is>
          <t>Yes</t>
        </is>
      </c>
      <c r="G16" s="15" t="inlineStr">
        <is>
          <t>Another entry posts the identical set of account/amount lines — possible duplicate posting or double-paid invoice.</t>
        </is>
      </c>
    </row>
    <row r="17">
      <c r="A17" s="13" t="inlineStr">
        <is>
          <t>QUICK_REVERSAL</t>
        </is>
      </c>
      <c r="B17" s="13" t="inlineStr">
        <is>
          <t>Reversed shortly after posting</t>
        </is>
      </c>
      <c r="C17" s="13" t="inlineStr">
        <is>
          <t>Risk</t>
        </is>
      </c>
      <c r="D17" s="13" t="n">
        <v>2</v>
      </c>
      <c r="E17" s="13" t="inlineStr">
        <is>
          <t>entry_date,account,amount</t>
        </is>
      </c>
      <c r="F17" s="13" t="inlineStr">
        <is>
          <t>Yes</t>
        </is>
      </c>
      <c r="G17" s="15" t="inlineStr">
        <is>
          <t>An equal-and-opposite entry posts within a few days — possible window-dressing or a temporary booking that was backed out.</t>
        </is>
      </c>
    </row>
    <row r="18">
      <c r="A18" s="13" t="inlineStr">
        <is>
          <t>NUMBERING_GAP</t>
        </is>
      </c>
      <c r="B18" s="13" t="inlineStr">
        <is>
          <t>Gap in entry numbering</t>
        </is>
      </c>
      <c r="C18" s="13" t="inlineStr">
        <is>
          <t>Risk</t>
        </is>
      </c>
      <c r="D18" s="13" t="n">
        <v>1</v>
      </c>
      <c r="E18" s="13" t="inlineStr">
        <is>
          <t>je_id</t>
        </is>
      </c>
      <c r="F18" s="13" t="inlineStr">
        <is>
          <t>Yes</t>
        </is>
      </c>
      <c r="G18" s="15" t="inlineStr">
        <is>
          <t>A break in the journal-entry number sequence precedes this entry — possible deleted, voided, or unrecorded entries.</t>
        </is>
      </c>
    </row>
    <row r="19">
      <c r="A19" s="13" t="inlineStr">
        <is>
          <t>RARE_USER</t>
        </is>
      </c>
      <c r="B19" s="13" t="inlineStr">
        <is>
          <t>Posted by an infrequent user</t>
        </is>
      </c>
      <c r="C19" s="13" t="inlineStr">
        <is>
          <t>Risk</t>
        </is>
      </c>
      <c r="D19" s="13" t="n">
        <v>2</v>
      </c>
      <c r="E19" s="13" t="inlineStr">
        <is>
          <t>entered_by</t>
        </is>
      </c>
      <c r="F19" s="13" t="inlineStr">
        <is>
          <t>Yes</t>
        </is>
      </c>
      <c r="G19" s="15" t="inlineStr">
        <is>
          <t>Entry was posted by a user who rarely posts journal entries in this population — unfamiliar preparers warrant a closer look.</t>
        </is>
      </c>
    </row>
    <row r="20">
      <c r="A20" s="13" t="inlineStr">
        <is>
          <t>SINGLE_SIDED_ENTRY</t>
        </is>
      </c>
      <c r="B20" s="13" t="inlineStr">
        <is>
          <t>All lines on one side</t>
        </is>
      </c>
      <c r="C20" s="13" t="inlineStr">
        <is>
          <t>Accuracy</t>
        </is>
      </c>
      <c r="D20" s="13" t="n">
        <v>3</v>
      </c>
      <c r="E20" s="13" t="inlineStr">
        <is>
          <t>debit,credit</t>
        </is>
      </c>
      <c r="F20" s="13" t="inlineStr">
        <is>
          <t>Yes</t>
        </is>
      </c>
      <c r="G20" s="15" t="inlineStr">
        <is>
          <t>Entry has only debit lines or only credit lines — no offsetting side.</t>
        </is>
      </c>
    </row>
    <row r="21">
      <c r="A21" s="13" t="inlineStr">
        <is>
          <t>DEBIT_AND_CREDIT_SAME_LINE</t>
        </is>
      </c>
      <c r="B21" s="13" t="inlineStr">
        <is>
          <t>Debit and credit on one line</t>
        </is>
      </c>
      <c r="C21" s="13" t="inlineStr">
        <is>
          <t>Accuracy</t>
        </is>
      </c>
      <c r="D21" s="13" t="n">
        <v>3</v>
      </c>
      <c r="E21" s="13" t="inlineStr">
        <is>
          <t>debit,credit</t>
        </is>
      </c>
      <c r="F21" s="13" t="inlineStr">
        <is>
          <t>Yes</t>
        </is>
      </c>
      <c r="G21" s="15" t="inlineStr">
        <is>
          <t>A single line carries both a debit and a credit amount — usually a keying error.</t>
        </is>
      </c>
    </row>
    <row r="22">
      <c r="A22" s="13" t="inlineStr">
        <is>
          <t>BLANK_LINE_AMOUNT</t>
        </is>
      </c>
      <c r="B22" s="13" t="inlineStr">
        <is>
          <t>Line with no amount</t>
        </is>
      </c>
      <c r="C22" s="13" t="inlineStr">
        <is>
          <t>Accuracy</t>
        </is>
      </c>
      <c r="D22" s="13" t="n">
        <v>2</v>
      </c>
      <c r="E22" s="13" t="inlineStr">
        <is>
          <t>debit,credit</t>
        </is>
      </c>
      <c r="F22" s="13" t="inlineStr">
        <is>
          <t>Yes</t>
        </is>
      </c>
      <c r="G22" s="15" t="inlineStr">
        <is>
          <t>A line has neither a debit nor a credit — an incomplete or placeholder line.</t>
        </is>
      </c>
    </row>
    <row r="23">
      <c r="A23" s="13" t="inlineStr">
        <is>
          <t>NEGATIVE_DR_CR</t>
        </is>
      </c>
      <c r="B23" s="13" t="inlineStr">
        <is>
          <t>Negative debit/credit</t>
        </is>
      </c>
      <c r="C23" s="13" t="inlineStr">
        <is>
          <t>Accuracy</t>
        </is>
      </c>
      <c r="D23" s="13" t="n">
        <v>2</v>
      </c>
      <c r="E23" s="13" t="inlineStr">
        <is>
          <t>debit,credit</t>
        </is>
      </c>
      <c r="F23" s="13" t="inlineStr">
        <is>
          <t>Yes</t>
        </is>
      </c>
      <c r="G23" s="15" t="inlineStr">
        <is>
          <t>A debit or credit column holds a negative number — the sign should come from the column, not a minus.</t>
        </is>
      </c>
    </row>
    <row r="24">
      <c r="A24" s="13" t="inlineStr">
        <is>
          <t>MISSING_ACCOUNT</t>
        </is>
      </c>
      <c r="B24" s="13" t="inlineStr">
        <is>
          <t>Line missing an account</t>
        </is>
      </c>
      <c r="C24" s="13" t="inlineStr">
        <is>
          <t>Accuracy</t>
        </is>
      </c>
      <c r="D24" s="13" t="n">
        <v>3</v>
      </c>
      <c r="E24" s="13" t="inlineStr">
        <is>
          <t>account</t>
        </is>
      </c>
      <c r="F24" s="13" t="inlineStr">
        <is>
          <t>Yes</t>
        </is>
      </c>
      <c r="G24" s="15" t="inlineStr">
        <is>
          <t>A line has no GL account number — the posting target is undefined.</t>
        </is>
      </c>
    </row>
    <row r="25">
      <c r="A25" s="13" t="inlineStr">
        <is>
          <t>ACCOUNT_NAME_INCONSISTENT</t>
        </is>
      </c>
      <c r="B25" s="13" t="inlineStr">
        <is>
          <t>Account number / name mismatch</t>
        </is>
      </c>
      <c r="C25" s="13" t="inlineStr">
        <is>
          <t>Accuracy</t>
        </is>
      </c>
      <c r="D25" s="13" t="n">
        <v>1</v>
      </c>
      <c r="E25" s="13" t="inlineStr">
        <is>
          <t>account,account_name</t>
        </is>
      </c>
      <c r="F25" s="13" t="inlineStr">
        <is>
          <t>Yes</t>
        </is>
      </c>
      <c r="G25" s="15" t="inlineStr">
        <is>
          <t>The same account number is recorded under more than one name across the file.</t>
        </is>
      </c>
    </row>
    <row r="26">
      <c r="A26" s="13" t="inlineStr">
        <is>
          <t>PERIOD_DATE_MISMATCH</t>
        </is>
      </c>
      <c r="B26" s="13" t="inlineStr">
        <is>
          <t>Date outside its period</t>
        </is>
      </c>
      <c r="C26" s="13" t="inlineStr">
        <is>
          <t>Accuracy</t>
        </is>
      </c>
      <c r="D26" s="13" t="n">
        <v>2</v>
      </c>
      <c r="E26" s="13" t="inlineStr">
        <is>
          <t>entry_date,period</t>
        </is>
      </c>
      <c r="F26" s="13" t="inlineStr">
        <is>
          <t>Yes</t>
        </is>
      </c>
      <c r="G26" s="15" t="inlineStr">
        <is>
          <t>The entry's effective date falls outside the accounting period it is labelled with.</t>
        </is>
      </c>
    </row>
    <row r="27">
      <c r="A27" s="13" t="inlineStr">
        <is>
          <t>EXCESS_PRECISION</t>
        </is>
      </c>
      <c r="B27" s="13" t="inlineStr">
        <is>
          <t>More than 2 decimal places</t>
        </is>
      </c>
      <c r="C27" s="13" t="inlineStr">
        <is>
          <t>Accuracy</t>
        </is>
      </c>
      <c r="D27" s="13" t="n">
        <v>1</v>
      </c>
      <c r="E27" s="13" t="inlineStr">
        <is>
          <t>amount</t>
        </is>
      </c>
      <c r="F27" s="13" t="inlineStr">
        <is>
          <t>Yes</t>
        </is>
      </c>
      <c r="G27" s="15" t="inlineStr">
        <is>
          <t>A line amount has sub-cent precision (e.g. 12.3456) — usually a rounding or import error.</t>
        </is>
      </c>
    </row>
    <row r="28">
      <c r="A28" s="13" t="inlineStr">
        <is>
          <t>FUTURE_DATE</t>
        </is>
      </c>
      <c r="B28" s="13" t="inlineStr">
        <is>
          <t>Future-dated entry</t>
        </is>
      </c>
      <c r="C28" s="13" t="inlineStr">
        <is>
          <t>Accuracy</t>
        </is>
      </c>
      <c r="D28" s="13" t="n">
        <v>2</v>
      </c>
      <c r="E28" s="13" t="inlineStr">
        <is>
          <t>entry_date</t>
        </is>
      </c>
      <c r="F28" s="13" t="inlineStr">
        <is>
          <t>Yes</t>
        </is>
      </c>
      <c r="G28" s="15" t="inlineStr">
        <is>
          <t>The entry is dated after today — likely a date-entry error.</t>
        </is>
      </c>
    </row>
    <row r="29">
      <c r="A29" s="13" t="inlineStr">
        <is>
          <t>UNKNOWN_ACCOUNT</t>
        </is>
      </c>
      <c r="B29" s="13" t="inlineStr">
        <is>
          <t>Account not in chart of accounts</t>
        </is>
      </c>
      <c r="C29" s="13" t="inlineStr">
        <is>
          <t>Accuracy</t>
        </is>
      </c>
      <c r="D29" s="13" t="n">
        <v>2</v>
      </c>
      <c r="E29" s="13" t="inlineStr">
        <is>
          <t>account</t>
        </is>
      </c>
      <c r="F29" s="13" t="inlineStr">
        <is>
          <t>Yes</t>
        </is>
      </c>
      <c r="G29" s="15" t="inlineStr">
        <is>
          <t>A line posts to an account not present in the uploaded chart of accounts. Runs only when a chart of accounts is provided.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Triage Notes</t>
        </is>
      </c>
    </row>
    <row r="3">
      <c r="A3" s="20" t="inlineStr">
        <is>
          <t>Triage notes — top 10 exception(s)</t>
        </is>
      </c>
    </row>
    <row r="4">
      <c r="A4" s="15" t="inlineStr"/>
    </row>
    <row r="5">
      <c r="A5" s="15" t="inlineStr">
        <is>
          <t>_Investigative leads for auditor judgement, not conclusions. Generated locally; no data left this machine._</t>
        </is>
      </c>
    </row>
    <row r="6">
      <c r="A6" s="15" t="inlineStr"/>
    </row>
    <row r="7">
      <c r="A7" s="21" t="inlineStr">
        <is>
          <t>ERR-0001  ·  risk 7  ·  3 test(s)</t>
        </is>
      </c>
    </row>
    <row r="8">
      <c r="A8" s="15" t="inlineStr">
        <is>
          <t>Entry date 2024-11-04, period 2024-11, net $1,500.00, preparer ksmith, approver mgr_ortiz, source System.</t>
        </is>
      </c>
    </row>
    <row r="9">
      <c r="A9" s="15" t="inlineStr">
        <is>
          <t>**Why flagged:** [ROUND_AMOUNT] Round amount $1,000 ; [UNBALANCED_ENTRY] Out of balance by $1,500.00 ; [SINGLE_SIDED_ENTRY] All lines are debits; no offsetting side</t>
        </is>
      </c>
    </row>
    <row r="10">
      <c r="A10" s="15" t="inlineStr">
        <is>
          <t>**Suggested procedures:**</t>
        </is>
      </c>
    </row>
    <row r="11">
      <c r="A11" s="15" t="inlineStr">
        <is>
          <t>- Round amounts often signal estimates or plugs — trace to primary documentation, not a calculation.</t>
        </is>
      </c>
    </row>
    <row r="12">
      <c r="A12" s="15" t="inlineStr">
        <is>
          <t>- An out-of-balance entry indicates a posting/data error or partial entry — reconcile both sides before relying on it.</t>
        </is>
      </c>
    </row>
    <row r="13">
      <c r="A13" s="15" t="inlineStr"/>
    </row>
    <row r="14">
      <c r="A14" s="21" t="inlineStr">
        <is>
          <t>ERR-0002  ·  risk 6  ·  2 test(s)</t>
        </is>
      </c>
    </row>
    <row r="15">
      <c r="A15" s="15" t="inlineStr">
        <is>
          <t>Entry date 2024-11-05, period 2024-11, net $-800.00, preparer rlee, approver mgr_ortiz, source System.</t>
        </is>
      </c>
    </row>
    <row r="16">
      <c r="A16" s="15" t="inlineStr">
        <is>
          <t>**Why flagged:** [UNBALANCED_ENTRY] Out of balance by $-800.00 ; [DEBIT_AND_CREDIT_SAME_LINE] A line has both a debit and a credit amount</t>
        </is>
      </c>
    </row>
    <row r="17">
      <c r="A17" s="15" t="inlineStr">
        <is>
          <t>**Suggested procedures:**</t>
        </is>
      </c>
    </row>
    <row r="18">
      <c r="A18" s="15" t="inlineStr">
        <is>
          <t>- An out-of-balance entry indicates a posting/data error or partial entry — reconcile both sides before relying on it.</t>
        </is>
      </c>
    </row>
    <row r="19">
      <c r="A19" s="15" t="inlineStr"/>
    </row>
    <row r="20">
      <c r="A20" s="21" t="inlineStr">
        <is>
          <t>ERR-0003  ·  risk 3  ·  2 test(s)</t>
        </is>
      </c>
    </row>
    <row r="21">
      <c r="A21" s="15" t="inlineStr">
        <is>
          <t>Entry date 2024-11-06, period 2024-11, net $0.00, preparer ksmith, approver mgr_ortiz, source System.</t>
        </is>
      </c>
    </row>
    <row r="22">
      <c r="A22" s="15" t="inlineStr">
        <is>
          <t>**Why flagged:** [LARGE_OUTLIER] Large amount $1,200 (top 1%) ; [BLANK_LINE_AMOUNT] 1 line(s) with no debit or credit amount</t>
        </is>
      </c>
    </row>
    <row r="23">
      <c r="A23" s="15" t="inlineStr">
        <is>
          <t>**Suggested procedures:**</t>
        </is>
      </c>
    </row>
    <row r="24">
      <c r="A24" s="15" t="inlineStr">
        <is>
          <t>- Obtain and inspect primary support and approval at the appropriate authority level.</t>
        </is>
      </c>
    </row>
    <row r="25">
      <c r="A25" s="15" t="inlineStr"/>
    </row>
    <row r="26">
      <c r="A26" s="21" t="inlineStr">
        <is>
          <t>ERR-0005  ·  risk 3  ·  1 test(s)</t>
        </is>
      </c>
    </row>
    <row r="27">
      <c r="A27" s="15" t="inlineStr">
        <is>
          <t>Entry date 2024-11-08, period 2024-11, net $0.00, preparer ksmith, approver mgr_ortiz, source System.</t>
        </is>
      </c>
    </row>
    <row r="28">
      <c r="A28" s="15" t="inlineStr">
        <is>
          <t>**Why flagged:** [MISSING_ACCOUNT] 1 line(s) with no account number</t>
        </is>
      </c>
    </row>
    <row r="29">
      <c r="A29" s="15" t="inlineStr">
        <is>
          <t>**Suggested procedures:**</t>
        </is>
      </c>
    </row>
    <row r="30">
      <c r="A30" s="15" t="inlineStr"/>
    </row>
    <row r="31">
      <c r="A31" s="21" t="inlineStr">
        <is>
          <t>ERR-0004  ·  risk 2  ·  1 test(s)</t>
        </is>
      </c>
    </row>
    <row r="32">
      <c r="A32" s="15" t="inlineStr">
        <is>
          <t>Entry date 2024-11-07, period 2024-11, net $0.00, preparer rlee, approver mgr_ortiz, source System.</t>
        </is>
      </c>
    </row>
    <row r="33">
      <c r="A33" s="15" t="inlineStr">
        <is>
          <t>**Why flagged:** [NEGATIVE_DR_CR] Negative value in a debit/credit column</t>
        </is>
      </c>
    </row>
    <row r="34">
      <c r="A34" s="15" t="inlineStr">
        <is>
          <t>**Suggested procedures:**</t>
        </is>
      </c>
    </row>
    <row r="35">
      <c r="A35" s="15" t="inlineStr"/>
    </row>
    <row r="36">
      <c r="A36" s="21" t="inlineStr">
        <is>
          <t>ERR-0008  ·  risk 2  ·  1 test(s)</t>
        </is>
      </c>
    </row>
    <row r="37">
      <c r="A37" s="15" t="inlineStr">
        <is>
          <t>Entry date 2024-11-13, period 2024-11, net $0.00, preparer rlee, approver mgr_ortiz, source System.</t>
        </is>
      </c>
    </row>
    <row r="38">
      <c r="A38" s="15" t="inlineStr">
        <is>
          <t>**Why flagged:** [PERIOD_DATE_MISMATCH] Dated 2024-10-15 but labelled period 2024-11</t>
        </is>
      </c>
    </row>
    <row r="39">
      <c r="A39" s="15" t="inlineStr">
        <is>
          <t>**Suggested procedures:**</t>
        </is>
      </c>
    </row>
    <row r="40">
      <c r="A40" s="15" t="inlineStr"/>
    </row>
    <row r="41">
      <c r="A41" s="21" t="inlineStr">
        <is>
          <t>ERR-0010  ·  risk 2  ·  1 test(s)</t>
        </is>
      </c>
    </row>
    <row r="42">
      <c r="A42" s="15" t="inlineStr">
        <is>
          <t>Entry date 2027-03-01, period 2027-03, net $0.00, preparer rlee, approver mgr_ortiz, source System.</t>
        </is>
      </c>
    </row>
    <row r="43">
      <c r="A43" s="15" t="inlineStr">
        <is>
          <t>**Why flagged:** [FUTURE_DATE] Dated in the future (2027-03-01)</t>
        </is>
      </c>
    </row>
    <row r="44">
      <c r="A44" s="15" t="inlineStr">
        <is>
          <t>**Suggested procedures:**</t>
        </is>
      </c>
    </row>
    <row r="45">
      <c r="A45" s="15" t="inlineStr"/>
    </row>
    <row r="46">
      <c r="A46" s="21" t="inlineStr">
        <is>
          <t>ERR-0006  ·  risk 1  ·  1 test(s)</t>
        </is>
      </c>
    </row>
    <row r="47">
      <c r="A47" s="15" t="inlineStr">
        <is>
          <t>Entry date 2024-11-11, period 2024-11, net $0.00, preparer rlee, approver mgr_ortiz, source System.</t>
        </is>
      </c>
    </row>
    <row r="48">
      <c r="A48" s="15" t="inlineStr">
        <is>
          <t>**Why flagged:** [ACCOUNT_NAME_INCONSISTENT] Account 7000 recorded under multiple names: Bank, Cash</t>
        </is>
      </c>
    </row>
    <row r="49">
      <c r="A49" s="15" t="inlineStr">
        <is>
          <t>**Suggested procedures:**</t>
        </is>
      </c>
    </row>
    <row r="50">
      <c r="A50" s="15" t="inlineStr"/>
    </row>
    <row r="51">
      <c r="A51" s="21" t="inlineStr">
        <is>
          <t>ERR-0007  ·  risk 1  ·  1 test(s)</t>
        </is>
      </c>
    </row>
    <row r="52">
      <c r="A52" s="15" t="inlineStr">
        <is>
          <t>Entry date 2024-11-12, period 2024-11, net $0.00, preparer ksmith, approver mgr_ortiz, source System.</t>
        </is>
      </c>
    </row>
    <row r="53">
      <c r="A53" s="15" t="inlineStr">
        <is>
          <t>**Why flagged:** [ACCOUNT_NAME_INCONSISTENT] Account 7000 recorded under multiple names: Bank, Cash</t>
        </is>
      </c>
    </row>
    <row r="54">
      <c r="A54" s="15" t="inlineStr">
        <is>
          <t>**Suggested procedures:**</t>
        </is>
      </c>
    </row>
    <row r="55">
      <c r="A55" s="15" t="inlineStr"/>
    </row>
    <row r="56">
      <c r="A56" s="21" t="inlineStr">
        <is>
          <t>ERR-0009  ·  risk 1  ·  1 test(s)</t>
        </is>
      </c>
    </row>
    <row r="57">
      <c r="A57" s="15" t="inlineStr">
        <is>
          <t>Entry date 2024-11-14, period 2024-11, net $0.00, preparer ksmith, approver mgr_ortiz, source System.</t>
        </is>
      </c>
    </row>
    <row r="58">
      <c r="A58" s="15" t="inlineStr">
        <is>
          <t>**Why flagged:** [EXCESS_PRECISION] Amount with sub-cent precision (e.g. 100.12345)</t>
        </is>
      </c>
    </row>
    <row r="59">
      <c r="A59" s="15" t="inlineStr">
        <is>
          <t>**Suggested procedures:**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2026-05-30T21:52:51Z</dcterms:created>
  <dcterms:modified xmlns:dcterms="http://purl.org/dc/terms/" xmlns:xsi="http://www.w3.org/2001/XMLSchema-instance" xsi:type="dcterms:W3CDTF">2026-05-30T21:52:51Z</dcterms:modified>
</cp:coreProperties>
</file>